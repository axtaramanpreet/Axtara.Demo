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Fund_Setup" sheetId="2" state="visible" r:id="rId4"/>
    <sheet name="LP_Register" sheetId="3" state="visible" r:id="rId5"/>
    <sheet name="Call_Components" sheetId="4" state="visible" r:id="rId6"/>
    <sheet name="Management_Fee" sheetId="5" state="visible" r:id="rId7"/>
    <sheet name="Transfers" sheetId="6" state="visible" r:id="rId8"/>
    <sheet name="Expected_Output" sheetId="7" state="visible" r:id="rId9"/>
    <sheet name="Data_Dictionary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<sst xmlns="http://schemas.openxmlformats.org/spreadsheetml/2006/main" count="455" uniqueCount="278">
  <si>
    <t xml:space="preserve">Capital Call Engine — Input Template &amp; Specification</t>
  </si>
  <si>
    <t xml:space="preserve">Fill the YELLOW cells. Blue text = you enter it. Grey = the engine computes it. Pink = illustrative example only.</t>
  </si>
  <si>
    <t xml:space="preserve">What this workbook is</t>
  </si>
  <si>
    <t xml:space="preserve">One file that serves three audiences: (1) the CLIENT fills a handful of tabs in ~10-15 minutes; (2) your DEVELOPER reads it as the data contract for the calculation engine; (3) it ships with a live, self-computing 'Expected_Output' tab that acts as a golden test case to validate the engine's numbers.</t>
  </si>
  <si>
    <t xml:space="preserve">Tabs the client fills each call</t>
  </si>
  <si>
    <t xml:space="preserve">Fund_Setup       — one-time / per-call fund parameters (currency, call no., dates, default fee, rounding rule).</t>
  </si>
  <si>
    <t xml:space="preserve">LP_Register      — the investor roster. Entered once, then carried forward and only edited for changes.</t>
  </si>
  <si>
    <t xml:space="preserve">Call_Components  — the line items being called THIS time (each deal + each expense), with its allocation basis.</t>
  </si>
  <si>
    <t xml:space="preserve">Management_Fee   — fee rate, basis, period and any fee offsets. Per-LP side-letter rates live in LP_Register.</t>
  </si>
  <si>
    <t xml:space="preserve">Transfers        — OPTIONAL. Only when an LP interest is transferred (full or partial) before the call.</t>
  </si>
  <si>
    <t xml:space="preserve">Tabs for the developer</t>
  </si>
  <si>
    <t xml:space="preserve">Data_Dictionary  — every field, its type, whether required, allowed values and validation notes.</t>
  </si>
  <si>
    <t xml:space="preserve">Expected_Output  — the fully worked example, computed live from the input tabs. Use it as a regression fixture.</t>
  </si>
  <si>
    <t xml:space="preserve">The calculation engine — order of operations</t>
  </si>
  <si>
    <t xml:space="preserve">1.  Resolve the roster as at the call date: apply any Transfers first, so positions (commitment / paid-in / unfunded / invested) reflect the transferee(s). A partial transfer splits every position by the transfer %.</t>
  </si>
  <si>
    <t xml:space="preserve">2.  For each Call_Component, determine the participating LPs (all LPs minus its Excused_LP_IDs), read its Allocation_Basis (Commitment / UCC / Invested_Capital), and take each participant's value on that basis.</t>
  </si>
  <si>
    <t xml:space="preserve">3.  Allocate pro-rata:  LP share = Component_Amount x (LP basis / sum of participants' basis).</t>
  </si>
  <si>
    <t xml:space="preserve">4.  Management fee: for each LP, rate = side-letter override if present, else the default; fee-exempt LPs = 0%. Gross fee = fee-basis value x rate x period fraction. Then allocate each offset (default method: pro-rata to each LP's gross fee) and Net fee = Gross - Offset.</t>
  </si>
  <si>
    <t xml:space="preserve">5.  Rounding: round each allocation to Rounding_Decimals, then post the residual (so each component ties to its exact total) to the Rounding_Plug_LP_ID. This example plugs to the largest commitment (LP04).</t>
  </si>
  <si>
    <t xml:space="preserve">6.  Per LP: Total call = sum of all component allocations + net management fee.</t>
  </si>
  <si>
    <t xml:space="preserve">7.  Update capital accounts:  Closing Paid-in = Opening Paid-in + Total call (ALL cash contributed counts). Closing Unfunded = Opening Unfunded - (only the components flagged Reduces_Unfunded = Y).</t>
  </si>
  <si>
    <t xml:space="preserve">Nuances already built into this model</t>
  </si>
  <si>
    <t xml:space="preserve">- Different allocation basis per line item (Deals X &amp; Y on commitment, Deal Z on unfunded) — Allocation_Basis column.</t>
  </si>
  <si>
    <t xml:space="preserve">- Organizational expense OUTSIDE commitment (contributed but does NOT reduce unfunded) — Reduces_Unfunded = N.</t>
  </si>
  <si>
    <t xml:space="preserve">- Management fee with an offset that nets the fee down — Management_Fee tab.</t>
  </si>
  <si>
    <t xml:space="preserve">- Side-letter fee discount (2% -&gt; 1% for one LP) — Mgmt_Fee_Rate_Override in LP_Register.</t>
  </si>
  <si>
    <t xml:space="preserve">- Fee-exempt investor (the GP) — Fee_Exempt flag + Fee_Exempt_LP_IDs.</t>
  </si>
  <si>
    <t xml:space="preserve">- Fee basis switch (e.g. commitment during the investment period, invested capital after) — Fee_Basis field.</t>
  </si>
  <si>
    <t xml:space="preserve">- Next-call allocation ratios can differ freely: each call is a fresh Call_Components set; the register carries forward.</t>
  </si>
  <si>
    <t xml:space="preserve">- Partner transfer, full or partial — Transfers tab.</t>
  </si>
  <si>
    <t xml:space="preserve">- Excused / excluded investors per deal — Excused_LP_IDs.</t>
  </si>
  <si>
    <t xml:space="preserve">- Deterministic rounding with a named plug investor — Fund_Setup.</t>
  </si>
  <si>
    <t xml:space="preserve">Precedence rules (resolve conflicts in this order)</t>
  </si>
  <si>
    <t xml:space="preserve">a.  An LP listed as Excused for a component gets 0 and is dropped from that component's basis denominator.</t>
  </si>
  <si>
    <t xml:space="preserve">b.  Fee-exempt beats side-letter: an exempt LP is 0% regardless of any override.</t>
  </si>
  <si>
    <t xml:space="preserve">c.  Mgmt_Fee_Rate_Override (side letter) beats the Fund_Setup / Management_Fee default rate.</t>
  </si>
  <si>
    <t xml:space="preserve">Nuances deliberately parked — decide if they are in scope</t>
  </si>
  <si>
    <t xml:space="preserve">- Subsequent-close equalisation / true-up interest when a new LP joins at a later closing (rebalances prior LPs and charges catch-up interest). This is the single biggest omission if your funds do multiple closings.</t>
  </si>
  <si>
    <t xml:space="preserve">- Defaulting-LP mechanics and re-allocation of a defaulter's shortfall.</t>
  </si>
  <si>
    <t xml:space="preserve">- Recallable vs non-recallable distributions restoring unfunded (relevant to the distribution side, not the call).</t>
  </si>
  <si>
    <t xml:space="preserve">- Multi-currency / FX per LP, feeder/blocker look-through, and org-expense cap spill-over treatment.</t>
  </si>
  <si>
    <t xml:space="preserve">Versioning</t>
  </si>
  <si>
    <t xml:space="preserve">Template v1.0 — carry the fund name, call number and 'prepared by / date' at the top of Fund_Setup so every generated notice is traceable to the exact input file that produced it.</t>
  </si>
  <si>
    <t xml:space="preserve">Fund Setup</t>
  </si>
  <si>
    <t xml:space="preserve">One row per field. Enter values in the yellow column.</t>
  </si>
  <si>
    <t xml:space="preserve">Field</t>
  </si>
  <si>
    <t xml:space="preserve">Value</t>
  </si>
  <si>
    <t xml:space="preserve">Notes / allowed values</t>
  </si>
  <si>
    <t xml:space="preserve">Fund_Name</t>
  </si>
  <si>
    <t xml:space="preserve">Illustrative Fund II, L.P.</t>
  </si>
  <si>
    <t xml:space="preserve">Free text; shown on every notice.</t>
  </si>
  <si>
    <t xml:space="preserve">Reporting_Currency</t>
  </si>
  <si>
    <t xml:space="preserve">USD</t>
  </si>
  <si>
    <t xml:space="preserve">ISO code.</t>
  </si>
  <si>
    <t xml:space="preserve">Call_Number</t>
  </si>
  <si>
    <t xml:space="preserve">Integer. Increment each call.</t>
  </si>
  <si>
    <t xml:space="preserve">Call_Date</t>
  </si>
  <si>
    <t xml:space="preserve">Effective date of the call.</t>
  </si>
  <si>
    <t xml:space="preserve">Payment_Due_Date</t>
  </si>
  <si>
    <t xml:space="preserve">When LP wires are due.</t>
  </si>
  <si>
    <t xml:space="preserve">Default_Mgmt_Fee_Rate_Annual</t>
  </si>
  <si>
    <t xml:space="preserve">Fraction. 0.02 = 2%. Overridden per-LP in LP_Register.</t>
  </si>
  <si>
    <t xml:space="preserve">Default_Mgmt_Fee_Basis</t>
  </si>
  <si>
    <t xml:space="preserve">Commitment</t>
  </si>
  <si>
    <t xml:space="preserve">Commitment | Invested_Capital | NAV.</t>
  </si>
  <si>
    <t xml:space="preserve">Mgmt_Fee_Period_Fraction</t>
  </si>
  <si>
    <t xml:space="preserve">Portion of the annual fee being called. 0.25 = one quarter.</t>
  </si>
  <si>
    <t xml:space="preserve">Org_Expense_Cap</t>
  </si>
  <si>
    <t xml:space="preserve">Cap on organizational expenses; excess treated per LPA.</t>
  </si>
  <si>
    <t xml:space="preserve">Rounding_Decimals</t>
  </si>
  <si>
    <t xml:space="preserve">Decimal places for every allocation.</t>
  </si>
  <si>
    <t xml:space="preserve">Rounding_Plug_LP_ID</t>
  </si>
  <si>
    <t xml:space="preserve">LP04</t>
  </si>
  <si>
    <t xml:space="preserve">LP that absorbs the rounding residual (usually the largest).</t>
  </si>
  <si>
    <t xml:space="preserve">Prepared_By</t>
  </si>
  <si>
    <t xml:space="preserve">Ops Team</t>
  </si>
  <si>
    <t xml:space="preserve">Traceability.</t>
  </si>
  <si>
    <t xml:space="preserve">LP Register (investor roster)</t>
  </si>
  <si>
    <t xml:space="preserve">Enter once, then carry forward. Opening balances are AS AT the start of this call. Yellow = you enter.</t>
  </si>
  <si>
    <t xml:space="preserve">LP_ID</t>
  </si>
  <si>
    <t xml:space="preserve">LP_Name</t>
  </si>
  <si>
    <t xml:space="preserve">LP_Type</t>
  </si>
  <si>
    <t xml:space="preserve">Opening_Paid_In</t>
  </si>
  <si>
    <t xml:space="preserve">Opening_UCC</t>
  </si>
  <si>
    <t xml:space="preserve">Opening_Invested_Capital</t>
  </si>
  <si>
    <t xml:space="preserve">Mgmt_Fee_Rate_Override</t>
  </si>
  <si>
    <t xml:space="preserve">Fee_Exempt</t>
  </si>
  <si>
    <t xml:space="preserve">Status</t>
  </si>
  <si>
    <t xml:space="preserve">Side_Letter_Ref</t>
  </si>
  <si>
    <t xml:space="preserve">Notes</t>
  </si>
  <si>
    <t xml:space="preserve">LP01</t>
  </si>
  <si>
    <t xml:space="preserve">Alpha Pension Trust</t>
  </si>
  <si>
    <t xml:space="preserve">LP</t>
  </si>
  <si>
    <t xml:space="preserve">N</t>
  </si>
  <si>
    <t xml:space="preserve">Active</t>
  </si>
  <si>
    <t xml:space="preserve">LP02</t>
  </si>
  <si>
    <t xml:space="preserve">Beta University Endowment</t>
  </si>
  <si>
    <t xml:space="preserve">LP03</t>
  </si>
  <si>
    <t xml:space="preserve">Gamma Family Office</t>
  </si>
  <si>
    <t xml:space="preserve">SL-2024-03</t>
  </si>
  <si>
    <t xml:space="preserve">Mgmt fee reduced to 1% per side letter</t>
  </si>
  <si>
    <t xml:space="preserve">Delta Insurance Co</t>
  </si>
  <si>
    <t xml:space="preserve">Largest commitment; rounding plug</t>
  </si>
  <si>
    <t xml:space="preserve">LP05</t>
  </si>
  <si>
    <t xml:space="preserve">Epsilon Sovereign Fund</t>
  </si>
  <si>
    <t xml:space="preserve">GP01</t>
  </si>
  <si>
    <t xml:space="preserve">Fund GP LLC</t>
  </si>
  <si>
    <t xml:space="preserve">GP</t>
  </si>
  <si>
    <t xml:space="preserve">Y</t>
  </si>
  <si>
    <t xml:space="preserve">GP commitment; exempt from mgmt fee</t>
  </si>
  <si>
    <t xml:space="preserve">Call Components (line items for THIS call)</t>
  </si>
  <si>
    <t xml:space="preserve">One row per deal and per expense. Management fee is configured on the Management_Fee tab (do not list it here).</t>
  </si>
  <si>
    <t xml:space="preserve">Component_ID</t>
  </si>
  <si>
    <t xml:space="preserve">Component_Name</t>
  </si>
  <si>
    <t xml:space="preserve">Category</t>
  </si>
  <si>
    <t xml:space="preserve">Total_Amount</t>
  </si>
  <si>
    <t xml:space="preserve">Allocation_Basis</t>
  </si>
  <si>
    <t xml:space="preserve">Reduces_Unfunded</t>
  </si>
  <si>
    <t xml:space="preserve">Excused_LP_IDs</t>
  </si>
  <si>
    <t xml:space="preserve">C1</t>
  </si>
  <si>
    <t xml:space="preserve">Deal X</t>
  </si>
  <si>
    <t xml:space="preserve">Deal</t>
  </si>
  <si>
    <t xml:space="preserve">Allocated on committed capital.</t>
  </si>
  <si>
    <t xml:space="preserve">C2</t>
  </si>
  <si>
    <t xml:space="preserve">Deal Y</t>
  </si>
  <si>
    <t xml:space="preserve">C3</t>
  </si>
  <si>
    <t xml:space="preserve">Deal Z</t>
  </si>
  <si>
    <t xml:space="preserve">UCC</t>
  </si>
  <si>
    <t xml:space="preserve">Allocated on UNFUNDED commitment, not commitment.</t>
  </si>
  <si>
    <t xml:space="preserve">C4</t>
  </si>
  <si>
    <t xml:space="preserve">Partnership Expense</t>
  </si>
  <si>
    <t xml:space="preserve">Ongoing fund expense; inside commitment.</t>
  </si>
  <si>
    <t xml:space="preserve">C5</t>
  </si>
  <si>
    <t xml:space="preserve">Organizational Expense</t>
  </si>
  <si>
    <t xml:space="preserve">OUTSIDE commitment: contributed but does NOT reduce unfunded.</t>
  </si>
  <si>
    <t xml:space="preserve">Management Fee</t>
  </si>
  <si>
    <t xml:space="preserve">Default rate is here; per-LP side-letter rates live in LP_Register (Mgmt_Fee_Rate_Override).</t>
  </si>
  <si>
    <t xml:space="preserve">Fee_Basis</t>
  </si>
  <si>
    <t xml:space="preserve">Commitment | Invested_Capital | NAV. Switch to Invested_Capital post-investment-period.</t>
  </si>
  <si>
    <t xml:space="preserve">Default_Fee_Rate_Annual</t>
  </si>
  <si>
    <t xml:space="preserve">Fraction. 0.02 = 2%.</t>
  </si>
  <si>
    <t xml:space="preserve">Fee_Period_Fraction</t>
  </si>
  <si>
    <t xml:space="preserve">Portion of annual fee called now. 0.25 = one quarter.</t>
  </si>
  <si>
    <t xml:space="preserve">Y if the fee is drawn from commitment.</t>
  </si>
  <si>
    <t xml:space="preserve">Fee_Exempt_LP_IDs</t>
  </si>
  <si>
    <t xml:space="preserve">Comma-separated LP_IDs charged 0% (e.g. the GP).</t>
  </si>
  <si>
    <t xml:space="preserve">Offsets</t>
  </si>
  <si>
    <t xml:space="preserve">Offset_ID</t>
  </si>
  <si>
    <t xml:space="preserve">Description</t>
  </si>
  <si>
    <t xml:space="preserve">Amount</t>
  </si>
  <si>
    <t xml:space="preserve">Allocation_Method</t>
  </si>
  <si>
    <t xml:space="preserve">O1</t>
  </si>
  <si>
    <t xml:space="preserve">GP transaction fee offset (100% sharing)</t>
  </si>
  <si>
    <t xml:space="preserve">Pro-rata to gross fee</t>
  </si>
  <si>
    <t xml:space="preserve">Transfers (OPTIONAL)</t>
  </si>
  <si>
    <t xml:space="preserve">One row per transfer, applied BEFORE the call is allocated. Partial = give Transfer_Pct. The row below is ILLUSTRATIVE (pink) and effective NEXT call — it is NOT applied to Call 2.</t>
  </si>
  <si>
    <t xml:space="preserve">Transfer_ID</t>
  </si>
  <si>
    <t xml:space="preserve">Effective_Date</t>
  </si>
  <si>
    <t xml:space="preserve">From_LP_ID</t>
  </si>
  <si>
    <t xml:space="preserve">To_LP_ID</t>
  </si>
  <si>
    <t xml:space="preserve">To_LP_Name_if_new</t>
  </si>
  <si>
    <t xml:space="preserve">Transfer_Type</t>
  </si>
  <si>
    <t xml:space="preserve">Transfer_Pct</t>
  </si>
  <si>
    <t xml:space="preserve">Transfers_Commitment</t>
  </si>
  <si>
    <t xml:space="preserve">Transfers_Paid_In</t>
  </si>
  <si>
    <t xml:space="preserve">Transfers_UCC</t>
  </si>
  <si>
    <t xml:space="preserve">T1</t>
  </si>
  <si>
    <t xml:space="preserve">LP06</t>
  </si>
  <si>
    <t xml:space="preserve">Zeta Capital Partners</t>
  </si>
  <si>
    <t xml:space="preserve">Partial</t>
  </si>
  <si>
    <t xml:space="preserve">ILLUSTRATIVE: 40% of LP05's position to new LP06, effective next call.</t>
  </si>
  <si>
    <t xml:space="preserve">Expected Output — golden test case (computed live)</t>
  </si>
  <si>
    <t xml:space="preserve">Formulas pull from the input tabs. Deal X/Y/Partnership/Org on Commitment; Deal Z on UCC; fee per-LP rate with pro-rata offset. Rounding residual plugs to LP04. Use as a regression fixture for the engine.</t>
  </si>
  <si>
    <t xml:space="preserve">Deal_X</t>
  </si>
  <si>
    <t xml:space="preserve">Deal_Y</t>
  </si>
  <si>
    <t xml:space="preserve">Deal_Z</t>
  </si>
  <si>
    <t xml:space="preserve">Partnership_Exp</t>
  </si>
  <si>
    <t xml:space="preserve">Org_Exp</t>
  </si>
  <si>
    <t xml:space="preserve">Fee_Rate</t>
  </si>
  <si>
    <t xml:space="preserve">Fee_Gross</t>
  </si>
  <si>
    <t xml:space="preserve">Fee_Offset</t>
  </si>
  <si>
    <t xml:space="preserve">Fee_Net</t>
  </si>
  <si>
    <t xml:space="preserve">Total_Call</t>
  </si>
  <si>
    <t xml:space="preserve">Reduces_Unfunded_Amt</t>
  </si>
  <si>
    <t xml:space="preserve">Closing_UCC</t>
  </si>
  <si>
    <t xml:space="preserve">Closing_Paid_In</t>
  </si>
  <si>
    <t xml:space="preserve">TOTAL</t>
  </si>
  <si>
    <t xml:space="preserve">CALL PARAMETERS (linked from input tabs)</t>
  </si>
  <si>
    <t xml:space="preserve">Deal_X_Amount</t>
  </si>
  <si>
    <t xml:space="preserve">Deal_Y_Amount</t>
  </si>
  <si>
    <t xml:space="preserve">Deal_Z_Amount</t>
  </si>
  <si>
    <t xml:space="preserve">Partnership_Exp_Amount</t>
  </si>
  <si>
    <t xml:space="preserve">Org_Exp_Amount</t>
  </si>
  <si>
    <t xml:space="preserve">Mgmt_Fee_Default_Rate</t>
  </si>
  <si>
    <t xml:space="preserve">Mgmt_Fee_Period</t>
  </si>
  <si>
    <t xml:space="preserve">Mgmt_Fee_Offset_Amount</t>
  </si>
  <si>
    <t xml:space="preserve">Commitment_Total</t>
  </si>
  <si>
    <t xml:space="preserve">UCC_Total</t>
  </si>
  <si>
    <t xml:space="preserve">Gross_Fee_Total</t>
  </si>
  <si>
    <t xml:space="preserve">Data Dictionary (for the developer)</t>
  </si>
  <si>
    <t xml:space="preserve">Field-level contract for each input tab.</t>
  </si>
  <si>
    <t xml:space="preserve">Tab</t>
  </si>
  <si>
    <t xml:space="preserve">Type</t>
  </si>
  <si>
    <t xml:space="preserve">Required</t>
  </si>
  <si>
    <t xml:space="preserve">Allowed / validation</t>
  </si>
  <si>
    <t xml:space="preserve">Fund_Setup</t>
  </si>
  <si>
    <t xml:space="preserve">text</t>
  </si>
  <si>
    <t xml:space="preserve">Display name on notices.</t>
  </si>
  <si>
    <t xml:space="preserve">int</t>
  </si>
  <si>
    <t xml:space="preserve">&gt;=1</t>
  </si>
  <si>
    <t xml:space="preserve">Sequential call identifier.</t>
  </si>
  <si>
    <t xml:space="preserve">Call_Date / Payment_Due_Date</t>
  </si>
  <si>
    <t xml:space="preserve">date</t>
  </si>
  <si>
    <t xml:space="preserve">Call effective date and wire due date.</t>
  </si>
  <si>
    <t xml:space="preserve">decimal</t>
  </si>
  <si>
    <t xml:space="preserve">0-1 (fraction)</t>
  </si>
  <si>
    <t xml:space="preserve">Default annual fee rate.</t>
  </si>
  <si>
    <t xml:space="preserve">enum</t>
  </si>
  <si>
    <t xml:space="preserve">Commitment|Invested_Capital|NAV</t>
  </si>
  <si>
    <t xml:space="preserve">Default fee basis.</t>
  </si>
  <si>
    <t xml:space="preserve">0-1</t>
  </si>
  <si>
    <t xml:space="preserve">Portion of annual fee called.</t>
  </si>
  <si>
    <t xml:space="preserve">&gt;=0</t>
  </si>
  <si>
    <t xml:space="preserve">Precision for allocations.</t>
  </si>
  <si>
    <t xml:space="preserve">text(FK)</t>
  </si>
  <si>
    <t xml:space="preserve">valid LP_ID</t>
  </si>
  <si>
    <t xml:space="preserve">Absorbs rounding residual.</t>
  </si>
  <si>
    <t xml:space="preserve">LP_Register</t>
  </si>
  <si>
    <t xml:space="preserve">text(PK)</t>
  </si>
  <si>
    <t xml:space="preserve">unique, stable</t>
  </si>
  <si>
    <t xml:space="preserve">Primary key; never reused, survives transfers.</t>
  </si>
  <si>
    <t xml:space="preserve">Legal name for the notice.</t>
  </si>
  <si>
    <t xml:space="preserve">LP|GP|Feeder</t>
  </si>
  <si>
    <t xml:space="preserve">Investor class.</t>
  </si>
  <si>
    <t xml:space="preserve">money</t>
  </si>
  <si>
    <t xml:space="preserve">Total committed capital.</t>
  </si>
  <si>
    <t xml:space="preserve">Cumulative contributions before this call.</t>
  </si>
  <si>
    <t xml:space="preserve">Unfunded commitment before this call.</t>
  </si>
  <si>
    <t xml:space="preserve">For Invested_Capital fee/allocation basis.</t>
  </si>
  <si>
    <t xml:space="preserve">Side-letter fee rate; blank = use default.</t>
  </si>
  <si>
    <t xml:space="preserve">Y|N</t>
  </si>
  <si>
    <t xml:space="preserve">Y = 0% fee regardless of override.</t>
  </si>
  <si>
    <t xml:space="preserve">Active|Transferred|Defaulted|Withdrawn</t>
  </si>
  <si>
    <t xml:space="preserve">Lifecycle state.</t>
  </si>
  <si>
    <t xml:space="preserve">Call_Components</t>
  </si>
  <si>
    <t xml:space="preserve">unique</t>
  </si>
  <si>
    <t xml:space="preserve">Line-item key.</t>
  </si>
  <si>
    <t xml:space="preserve">Deal|Partnership Expense|Organizational Expense|Other Expense</t>
  </si>
  <si>
    <t xml:space="preserve">Line-item type.</t>
  </si>
  <si>
    <t xml:space="preserve">&gt;0</t>
  </si>
  <si>
    <t xml:space="preserve">Amount to raise for this line.</t>
  </si>
  <si>
    <t xml:space="preserve">Commitment|UCC|Invested_Capital</t>
  </si>
  <si>
    <t xml:space="preserve">How to split it.</t>
  </si>
  <si>
    <t xml:space="preserve">N for capital raised outside commitment (e.g. org exp).</t>
  </si>
  <si>
    <t xml:space="preserve">text[]</t>
  </si>
  <si>
    <t xml:space="preserve">comma-separated LP_IDs</t>
  </si>
  <si>
    <t xml:space="preserve">LPs excused from this line.</t>
  </si>
  <si>
    <t xml:space="preserve">Management_Fee</t>
  </si>
  <si>
    <t xml:space="preserve">Base for the fee.</t>
  </si>
  <si>
    <t xml:space="preserve">Annual rate.</t>
  </si>
  <si>
    <t xml:space="preserve">Portion called now.</t>
  </si>
  <si>
    <t xml:space="preserve">comma-separated</t>
  </si>
  <si>
    <t xml:space="preserve">0% fee LPs.</t>
  </si>
  <si>
    <t xml:space="preserve">Offset.Amount</t>
  </si>
  <si>
    <t xml:space="preserve">Amount netting the gross fee down.</t>
  </si>
  <si>
    <t xml:space="preserve">Offset.Allocation_Method</t>
  </si>
  <si>
    <t xml:space="preserve">Pro-rata to gross fee|Commitment|Invested_Capital</t>
  </si>
  <si>
    <t xml:space="preserve">How the offset is spread.</t>
  </si>
  <si>
    <t xml:space="preserve">Transfers</t>
  </si>
  <si>
    <t xml:space="preserve">From_LP_ID / To_LP_ID</t>
  </si>
  <si>
    <t xml:space="preserve">cond</t>
  </si>
  <si>
    <t xml:space="preserve">valid LP_IDs</t>
  </si>
  <si>
    <t xml:space="preserve">Transferor / transferee (To may be a new LP).</t>
  </si>
  <si>
    <t xml:space="preserve">Full|Partial</t>
  </si>
  <si>
    <t xml:space="preserve">Full = 100%.</t>
  </si>
  <si>
    <t xml:space="preserve">Fraction moved when Partial.</t>
  </si>
  <si>
    <t xml:space="preserve">Transfers_Commitment/Paid_In/UCC</t>
  </si>
  <si>
    <t xml:space="preserve">Which positions move with the interest.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</si>
</sst>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0.00%"/>
    <numFmt numFmtId="167" formatCode="0.00"/>
    <numFmt numFmtId="168" formatCode="#,##0;\(#,##0\);\-"/>
    <numFmt numFmtId="169" formatCode="#,##0.00;\(#,##0.0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937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1"/>
      <color rgb="FF2563EB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1D4ED8"/>
      <name val="Arial"/>
      <family val="0"/>
      <charset val="1"/>
    </font>
    <font>
      <i val="true"/>
      <sz val="9"/>
      <color rgb="FF6B72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374151"/>
        <bgColor rgb="FF1F2937"/>
      </patternFill>
    </fill>
    <fill>
      <patternFill patternType="solid">
        <fgColor rgb="FFFEF9C3"/>
        <bgColor rgb="FFFDE8E8"/>
      </patternFill>
    </fill>
    <fill>
      <patternFill patternType="solid">
        <fgColor rgb="FFFDE8E8"/>
        <bgColor rgb="FFF3F4F6"/>
      </patternFill>
    </fill>
    <fill>
      <patternFill patternType="solid">
        <fgColor rgb="FFF3F4F6"/>
        <bgColor rgb="FFFFFFFF"/>
      </patternFill>
    </fill>
    <fill>
      <patternFill patternType="solid">
        <fgColor rgb="FFE5E7EB"/>
        <bgColor rgb="FFF3F4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9C3"/>
      <rgbColor rgb="FFF3F4F6"/>
      <rgbColor rgb="FF660066"/>
      <rgbColor rgb="FFFF8080"/>
      <rgbColor rgb="FF1D4ED8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CCFFCC"/>
      <rgbColor rgb="FFFDE8E8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111827"/>
      <rgbColor rgb="FF333300"/>
      <rgbColor rgb="FF993300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8"/>
  </cols>
  <sheetData>
    <row r="1" customFormat="false" ht="17.3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0" t="s">
        <v>3</v>
      </c>
    </row>
    <row r="7" customFormat="false" ht="15" hidden="false" customHeight="false" outlineLevel="0" collapsed="false">
      <c r="B7" s="3" t="s">
        <v>4</v>
      </c>
    </row>
    <row r="8" customFormat="false" ht="27.75" hidden="false" customHeight="true" outlineLevel="0" collapsed="false">
      <c r="B8" s="4" t="s">
        <v>5</v>
      </c>
    </row>
    <row r="9" customFormat="false" ht="15" hidden="false" customHeight="true" outlineLevel="0" collapsed="false">
      <c r="B9" s="4" t="s">
        <v>6</v>
      </c>
    </row>
    <row r="10" customFormat="false" ht="27.75" hidden="false" customHeight="true" outlineLevel="0" collapsed="false">
      <c r="B10" s="4" t="s">
        <v>7</v>
      </c>
    </row>
    <row r="11" customFormat="false" ht="15" hidden="false" customHeight="true" outlineLevel="0" collapsed="false">
      <c r="B11" s="4" t="s">
        <v>8</v>
      </c>
    </row>
    <row r="12" customFormat="false" ht="15" hidden="false" customHeight="true" outlineLevel="0" collapsed="false">
      <c r="B12" s="4" t="s">
        <v>9</v>
      </c>
    </row>
    <row r="14" customFormat="false" ht="15" hidden="false" customHeight="false" outlineLevel="0" collapsed="false">
      <c r="B14" s="3" t="s">
        <v>10</v>
      </c>
    </row>
    <row r="15" customFormat="false" ht="15" hidden="false" customHeight="true" outlineLevel="0" collapsed="false">
      <c r="B15" s="4" t="s">
        <v>11</v>
      </c>
    </row>
    <row r="16" customFormat="false" ht="27.75" hidden="false" customHeight="true" outlineLevel="0" collapsed="false">
      <c r="B16" s="4" t="s">
        <v>12</v>
      </c>
    </row>
    <row r="18" customFormat="false" ht="15" hidden="false" customHeight="false" outlineLevel="0" collapsed="false">
      <c r="B18" s="3" t="s">
        <v>13</v>
      </c>
    </row>
    <row r="19" customFormat="false" ht="27.75" hidden="false" customHeight="true" outlineLevel="0" collapsed="false">
      <c r="B19" s="4" t="s">
        <v>14</v>
      </c>
    </row>
    <row r="20" customFormat="false" ht="27.75" hidden="false" customHeight="true" outlineLevel="0" collapsed="false">
      <c r="B20" s="4" t="s">
        <v>15</v>
      </c>
    </row>
    <row r="21" customFormat="false" ht="15" hidden="false" customHeight="true" outlineLevel="0" collapsed="false">
      <c r="B21" s="4" t="s">
        <v>16</v>
      </c>
    </row>
    <row r="22" customFormat="false" ht="27.75" hidden="false" customHeight="true" outlineLevel="0" collapsed="false">
      <c r="B22" s="4" t="s">
        <v>17</v>
      </c>
    </row>
    <row r="23" customFormat="false" ht="27.75" hidden="false" customHeight="true" outlineLevel="0" collapsed="false">
      <c r="B23" s="4" t="s">
        <v>18</v>
      </c>
    </row>
    <row r="24" customFormat="false" ht="15" hidden="false" customHeight="true" outlineLevel="0" collapsed="false">
      <c r="B24" s="4" t="s">
        <v>19</v>
      </c>
    </row>
    <row r="25" customFormat="false" ht="27.75" hidden="false" customHeight="true" outlineLevel="0" collapsed="false">
      <c r="B25" s="4" t="s">
        <v>20</v>
      </c>
    </row>
    <row r="27" customFormat="false" ht="15" hidden="false" customHeight="false" outlineLevel="0" collapsed="false">
      <c r="B27" s="3" t="s">
        <v>21</v>
      </c>
    </row>
    <row r="28" customFormat="false" ht="27.75" hidden="false" customHeight="true" outlineLevel="0" collapsed="false">
      <c r="B28" s="4" t="s">
        <v>22</v>
      </c>
    </row>
    <row r="29" customFormat="false" ht="15" hidden="false" customHeight="true" outlineLevel="0" collapsed="false">
      <c r="B29" s="4" t="s">
        <v>23</v>
      </c>
    </row>
    <row r="30" customFormat="false" ht="15" hidden="false" customHeight="true" outlineLevel="0" collapsed="false">
      <c r="B30" s="4" t="s">
        <v>24</v>
      </c>
    </row>
    <row r="31" customFormat="false" ht="15" hidden="false" customHeight="true" outlineLevel="0" collapsed="false">
      <c r="B31" s="4" t="s">
        <v>25</v>
      </c>
    </row>
    <row r="32" customFormat="false" ht="15" hidden="false" customHeight="true" outlineLevel="0" collapsed="false">
      <c r="B32" s="4" t="s">
        <v>26</v>
      </c>
    </row>
    <row r="33" customFormat="false" ht="15" hidden="false" customHeight="true" outlineLevel="0" collapsed="false">
      <c r="B33" s="4" t="s">
        <v>27</v>
      </c>
    </row>
    <row r="34" customFormat="false" ht="27.75" hidden="false" customHeight="true" outlineLevel="0" collapsed="false">
      <c r="B34" s="4" t="s">
        <v>28</v>
      </c>
    </row>
    <row r="35" customFormat="false" ht="15" hidden="false" customHeight="true" outlineLevel="0" collapsed="false">
      <c r="B35" s="4" t="s">
        <v>29</v>
      </c>
    </row>
    <row r="36" customFormat="false" ht="15" hidden="false" customHeight="true" outlineLevel="0" collapsed="false">
      <c r="B36" s="4" t="s">
        <v>30</v>
      </c>
    </row>
    <row r="37" customFormat="false" ht="15" hidden="false" customHeight="true" outlineLevel="0" collapsed="false">
      <c r="B37" s="4" t="s">
        <v>31</v>
      </c>
    </row>
    <row r="39" customFormat="false" ht="15" hidden="false" customHeight="false" outlineLevel="0" collapsed="false">
      <c r="B39" s="3" t="s">
        <v>32</v>
      </c>
    </row>
    <row r="40" customFormat="false" ht="15" hidden="false" customHeight="true" outlineLevel="0" collapsed="false">
      <c r="B40" s="4" t="s">
        <v>33</v>
      </c>
    </row>
    <row r="41" customFormat="false" ht="15" hidden="false" customHeight="true" outlineLevel="0" collapsed="false">
      <c r="B41" s="4" t="s">
        <v>34</v>
      </c>
    </row>
    <row r="42" customFormat="false" ht="15" hidden="false" customHeight="true" outlineLevel="0" collapsed="false">
      <c r="B42" s="4" t="s">
        <v>35</v>
      </c>
    </row>
    <row r="44" customFormat="false" ht="15" hidden="false" customHeight="false" outlineLevel="0" collapsed="false">
      <c r="B44" s="3" t="s">
        <v>36</v>
      </c>
    </row>
    <row r="45" customFormat="false" ht="27.75" hidden="false" customHeight="true" outlineLevel="0" collapsed="false">
      <c r="B45" s="4" t="s">
        <v>37</v>
      </c>
    </row>
    <row r="46" customFormat="false" ht="15" hidden="false" customHeight="true" outlineLevel="0" collapsed="false">
      <c r="B46" s="4" t="s">
        <v>38</v>
      </c>
    </row>
    <row r="47" customFormat="false" ht="27.75" hidden="false" customHeight="true" outlineLevel="0" collapsed="false">
      <c r="B47" s="4" t="s">
        <v>39</v>
      </c>
    </row>
    <row r="48" customFormat="false" ht="15" hidden="false" customHeight="true" outlineLevel="0" collapsed="false">
      <c r="B48" s="4" t="s">
        <v>40</v>
      </c>
    </row>
    <row r="50" customFormat="false" ht="15" hidden="false" customHeight="false" outlineLevel="0" collapsed="false">
      <c r="B50" s="3" t="s">
        <v>41</v>
      </c>
    </row>
    <row r="51" customFormat="false" ht="27.75" hidden="false" customHeight="true" outlineLevel="0" collapsed="false">
      <c r="B51" s="4" t="s">
        <v>42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60"/>
  </cols>
  <sheetData>
    <row r="1" customFormat="false" ht="17.35" hidden="false" customHeight="true" outlineLevel="0" collapsed="false">
      <c r="A1" s="1" t="s">
        <v>43</v>
      </c>
      <c r="B1" s="1"/>
      <c r="C1" s="1"/>
    </row>
    <row r="2" customFormat="false" ht="15" hidden="false" customHeight="true" outlineLevel="0" collapsed="false">
      <c r="A2" s="2" t="s">
        <v>44</v>
      </c>
      <c r="B2" s="2"/>
      <c r="C2" s="2"/>
    </row>
    <row r="3" customFormat="false" ht="15" hidden="false" customHeight="false" outlineLevel="0" collapsed="false">
      <c r="A3" s="5" t="s">
        <v>45</v>
      </c>
      <c r="B3" s="5" t="s">
        <v>46</v>
      </c>
      <c r="C3" s="5" t="s">
        <v>47</v>
      </c>
    </row>
    <row r="4" customFormat="false" ht="15" hidden="false" customHeight="false" outlineLevel="0" collapsed="false">
      <c r="A4" s="6" t="s">
        <v>48</v>
      </c>
      <c r="B4" s="7" t="s">
        <v>49</v>
      </c>
      <c r="C4" s="8" t="s">
        <v>50</v>
      </c>
    </row>
    <row r="5" customFormat="false" ht="15" hidden="false" customHeight="false" outlineLevel="0" collapsed="false">
      <c r="A5" s="6" t="s">
        <v>51</v>
      </c>
      <c r="B5" s="7" t="s">
        <v>52</v>
      </c>
      <c r="C5" s="8" t="s">
        <v>53</v>
      </c>
    </row>
    <row r="6" customFormat="false" ht="15" hidden="false" customHeight="false" outlineLevel="0" collapsed="false">
      <c r="A6" s="6" t="s">
        <v>54</v>
      </c>
      <c r="B6" s="7" t="n">
        <v>2</v>
      </c>
      <c r="C6" s="8" t="s">
        <v>55</v>
      </c>
    </row>
    <row r="7" customFormat="false" ht="15" hidden="false" customHeight="false" outlineLevel="0" collapsed="false">
      <c r="A7" s="6" t="s">
        <v>56</v>
      </c>
      <c r="B7" s="9" t="n">
        <v>46295</v>
      </c>
      <c r="C7" s="8" t="s">
        <v>57</v>
      </c>
    </row>
    <row r="8" customFormat="false" ht="15" hidden="false" customHeight="false" outlineLevel="0" collapsed="false">
      <c r="A8" s="6" t="s">
        <v>58</v>
      </c>
      <c r="B8" s="9" t="n">
        <v>46309</v>
      </c>
      <c r="C8" s="8" t="s">
        <v>59</v>
      </c>
    </row>
    <row r="9" customFormat="false" ht="15" hidden="false" customHeight="false" outlineLevel="0" collapsed="false">
      <c r="A9" s="6" t="s">
        <v>60</v>
      </c>
      <c r="B9" s="10" t="n">
        <v>0.02</v>
      </c>
      <c r="C9" s="8" t="s">
        <v>61</v>
      </c>
    </row>
    <row r="10" customFormat="false" ht="15" hidden="false" customHeight="false" outlineLevel="0" collapsed="false">
      <c r="A10" s="6" t="s">
        <v>62</v>
      </c>
      <c r="B10" s="7" t="s">
        <v>63</v>
      </c>
      <c r="C10" s="8" t="s">
        <v>64</v>
      </c>
    </row>
    <row r="11" customFormat="false" ht="15" hidden="false" customHeight="false" outlineLevel="0" collapsed="false">
      <c r="A11" s="6" t="s">
        <v>65</v>
      </c>
      <c r="B11" s="11" t="n">
        <v>0.25</v>
      </c>
      <c r="C11" s="8" t="s">
        <v>66</v>
      </c>
    </row>
    <row r="12" customFormat="false" ht="15" hidden="false" customHeight="false" outlineLevel="0" collapsed="false">
      <c r="A12" s="6" t="s">
        <v>67</v>
      </c>
      <c r="B12" s="12" t="n">
        <v>1500000</v>
      </c>
      <c r="C12" s="8" t="s">
        <v>68</v>
      </c>
    </row>
    <row r="13" customFormat="false" ht="15" hidden="false" customHeight="false" outlineLevel="0" collapsed="false">
      <c r="A13" s="6" t="s">
        <v>69</v>
      </c>
      <c r="B13" s="7" t="n">
        <v>2</v>
      </c>
      <c r="C13" s="8" t="s">
        <v>70</v>
      </c>
    </row>
    <row r="14" customFormat="false" ht="15" hidden="false" customHeight="false" outlineLevel="0" collapsed="false">
      <c r="A14" s="6" t="s">
        <v>71</v>
      </c>
      <c r="B14" s="7" t="s">
        <v>72</v>
      </c>
      <c r="C14" s="8" t="s">
        <v>73</v>
      </c>
    </row>
    <row r="15" customFormat="false" ht="15" hidden="false" customHeight="false" outlineLevel="0" collapsed="false">
      <c r="A15" s="6" t="s">
        <v>74</v>
      </c>
      <c r="B15" s="7" t="s">
        <v>75</v>
      </c>
      <c r="C15" s="8" t="s">
        <v>76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6" min="4" style="0" width="15"/>
    <col collapsed="false" customWidth="true" hidden="false" outlineLevel="0" max="7" min="7" style="0" width="18"/>
    <col collapsed="false" customWidth="true" hidden="false" outlineLevel="0" max="8" min="8" style="0" width="17"/>
    <col collapsed="false" customWidth="true" hidden="false" outlineLevel="0" max="10" min="9" style="0" width="10"/>
    <col collapsed="false" customWidth="true" hidden="false" outlineLevel="0" max="11" min="11" style="0" width="14"/>
    <col collapsed="false" customWidth="true" hidden="false" outlineLevel="0" max="12" min="12" style="0" width="30"/>
  </cols>
  <sheetData>
    <row r="1" customFormat="false" ht="17.35" hidden="false" customHeight="true" outlineLevel="0" collapsed="false">
      <c r="A1" s="1" t="s">
        <v>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true" outlineLevel="0" collapsed="false">
      <c r="A2" s="2" t="s">
        <v>78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23.85" hidden="false" customHeight="false" outlineLevel="0" collapsed="false">
      <c r="A3" s="5" t="s">
        <v>79</v>
      </c>
      <c r="B3" s="5" t="s">
        <v>80</v>
      </c>
      <c r="C3" s="5" t="s">
        <v>81</v>
      </c>
      <c r="D3" s="5" t="s">
        <v>63</v>
      </c>
      <c r="E3" s="5" t="s">
        <v>82</v>
      </c>
      <c r="F3" s="5" t="s">
        <v>83</v>
      </c>
      <c r="G3" s="5" t="s">
        <v>84</v>
      </c>
      <c r="H3" s="5" t="s">
        <v>85</v>
      </c>
      <c r="I3" s="5" t="s">
        <v>86</v>
      </c>
      <c r="J3" s="5" t="s">
        <v>87</v>
      </c>
      <c r="K3" s="5" t="s">
        <v>88</v>
      </c>
      <c r="L3" s="5" t="s">
        <v>89</v>
      </c>
    </row>
    <row r="4" customFormat="false" ht="15" hidden="false" customHeight="false" outlineLevel="0" collapsed="false">
      <c r="A4" s="7" t="s">
        <v>90</v>
      </c>
      <c r="B4" s="13" t="s">
        <v>91</v>
      </c>
      <c r="C4" s="7" t="s">
        <v>92</v>
      </c>
      <c r="D4" s="14" t="n">
        <v>10000000</v>
      </c>
      <c r="E4" s="14" t="n">
        <v>2000000</v>
      </c>
      <c r="F4" s="14" t="n">
        <v>8000000</v>
      </c>
      <c r="G4" s="14" t="n">
        <v>1800000</v>
      </c>
      <c r="H4" s="10"/>
      <c r="I4" s="7" t="s">
        <v>93</v>
      </c>
      <c r="J4" s="7" t="s">
        <v>94</v>
      </c>
      <c r="K4" s="15"/>
      <c r="L4" s="13"/>
    </row>
    <row r="5" customFormat="false" ht="15" hidden="false" customHeight="false" outlineLevel="0" collapsed="false">
      <c r="A5" s="7" t="s">
        <v>95</v>
      </c>
      <c r="B5" s="13" t="s">
        <v>96</v>
      </c>
      <c r="C5" s="7" t="s">
        <v>92</v>
      </c>
      <c r="D5" s="14" t="n">
        <v>7500000</v>
      </c>
      <c r="E5" s="14" t="n">
        <v>750000</v>
      </c>
      <c r="F5" s="14" t="n">
        <v>6750000</v>
      </c>
      <c r="G5" s="14" t="n">
        <v>675000</v>
      </c>
      <c r="H5" s="10"/>
      <c r="I5" s="7" t="s">
        <v>93</v>
      </c>
      <c r="J5" s="7" t="s">
        <v>94</v>
      </c>
      <c r="K5" s="15"/>
      <c r="L5" s="13"/>
    </row>
    <row r="6" customFormat="false" ht="23.85" hidden="false" customHeight="false" outlineLevel="0" collapsed="false">
      <c r="A6" s="7" t="s">
        <v>97</v>
      </c>
      <c r="B6" s="13" t="s">
        <v>98</v>
      </c>
      <c r="C6" s="7" t="s">
        <v>92</v>
      </c>
      <c r="D6" s="14" t="n">
        <v>5000000</v>
      </c>
      <c r="E6" s="14" t="n">
        <v>2000000</v>
      </c>
      <c r="F6" s="14" t="n">
        <v>3000000</v>
      </c>
      <c r="G6" s="14" t="n">
        <v>1800000</v>
      </c>
      <c r="H6" s="10" t="n">
        <v>0.01</v>
      </c>
      <c r="I6" s="7" t="s">
        <v>93</v>
      </c>
      <c r="J6" s="7" t="s">
        <v>94</v>
      </c>
      <c r="K6" s="15" t="s">
        <v>99</v>
      </c>
      <c r="L6" s="13" t="s">
        <v>100</v>
      </c>
    </row>
    <row r="7" customFormat="false" ht="15" hidden="false" customHeight="false" outlineLevel="0" collapsed="false">
      <c r="A7" s="7" t="s">
        <v>72</v>
      </c>
      <c r="B7" s="13" t="s">
        <v>101</v>
      </c>
      <c r="C7" s="7" t="s">
        <v>92</v>
      </c>
      <c r="D7" s="14" t="n">
        <v>15000000</v>
      </c>
      <c r="E7" s="14" t="n">
        <v>1500000</v>
      </c>
      <c r="F7" s="14" t="n">
        <v>13500000</v>
      </c>
      <c r="G7" s="14" t="n">
        <v>1350000</v>
      </c>
      <c r="H7" s="10"/>
      <c r="I7" s="7" t="s">
        <v>93</v>
      </c>
      <c r="J7" s="7" t="s">
        <v>94</v>
      </c>
      <c r="K7" s="15"/>
      <c r="L7" s="13" t="s">
        <v>102</v>
      </c>
    </row>
    <row r="8" customFormat="false" ht="15" hidden="false" customHeight="false" outlineLevel="0" collapsed="false">
      <c r="A8" s="7" t="s">
        <v>103</v>
      </c>
      <c r="B8" s="13" t="s">
        <v>104</v>
      </c>
      <c r="C8" s="7" t="s">
        <v>92</v>
      </c>
      <c r="D8" s="14" t="n">
        <v>12500000</v>
      </c>
      <c r="E8" s="14" t="n">
        <v>3500000</v>
      </c>
      <c r="F8" s="14" t="n">
        <v>9000000</v>
      </c>
      <c r="G8" s="14" t="n">
        <v>3150000</v>
      </c>
      <c r="H8" s="10"/>
      <c r="I8" s="7" t="s">
        <v>93</v>
      </c>
      <c r="J8" s="7" t="s">
        <v>94</v>
      </c>
      <c r="K8" s="15"/>
      <c r="L8" s="13"/>
    </row>
    <row r="9" customFormat="false" ht="23.85" hidden="false" customHeight="false" outlineLevel="0" collapsed="false">
      <c r="A9" s="7" t="s">
        <v>105</v>
      </c>
      <c r="B9" s="13" t="s">
        <v>106</v>
      </c>
      <c r="C9" s="7" t="s">
        <v>107</v>
      </c>
      <c r="D9" s="14" t="n">
        <v>500000</v>
      </c>
      <c r="E9" s="14" t="n">
        <v>50000</v>
      </c>
      <c r="F9" s="14" t="n">
        <v>450000</v>
      </c>
      <c r="G9" s="14" t="n">
        <v>45000</v>
      </c>
      <c r="H9" s="10"/>
      <c r="I9" s="7" t="s">
        <v>108</v>
      </c>
      <c r="J9" s="7" t="s">
        <v>94</v>
      </c>
      <c r="K9" s="15"/>
      <c r="L9" s="13" t="s">
        <v>109</v>
      </c>
    </row>
  </sheetData>
  <mergeCells count="2">
    <mergeCell ref="A1:L1"/>
    <mergeCell ref="A2:L2"/>
  </mergeCells>
  <dataValidations count="3">
    <dataValidation allowBlank="true" errorStyle="stop" operator="between" showDropDown="false" showErrorMessage="false" showInputMessage="false" sqref="C4:C50" type="list">
      <formula1>"LP,GP,Feeder"</formula1>
      <formula2>0</formula2>
    </dataValidation>
    <dataValidation allowBlank="true" errorStyle="stop" operator="between" showDropDown="false" showErrorMessage="false" showInputMessage="false" sqref="I4:I50" type="list">
      <formula1>"Y,N"</formula1>
      <formula2>0</formula2>
    </dataValidation>
    <dataValidation allowBlank="true" errorStyle="stop" operator="between" showDropDown="false" showErrorMessage="false" showInputMessage="false" sqref="J4:J50" type="list">
      <formula1>"Active,Transferred,Defaulted,Withdrawn"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8" min="8" style="0" width="34"/>
  </cols>
  <sheetData>
    <row r="1" customFormat="false" ht="17.35" hidden="false" customHeight="true" outlineLevel="0" collapsed="false">
      <c r="A1" s="1" t="s">
        <v>110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111</v>
      </c>
      <c r="B2" s="2"/>
      <c r="C2" s="2"/>
      <c r="D2" s="2"/>
      <c r="E2" s="2"/>
      <c r="F2" s="2"/>
      <c r="G2" s="2"/>
      <c r="H2" s="2"/>
    </row>
    <row r="3" customFormat="false" ht="23.85" hidden="false" customHeight="false" outlineLevel="0" collapsed="false">
      <c r="A3" s="5" t="s">
        <v>112</v>
      </c>
      <c r="B3" s="5" t="s">
        <v>113</v>
      </c>
      <c r="C3" s="5" t="s">
        <v>114</v>
      </c>
      <c r="D3" s="5" t="s">
        <v>115</v>
      </c>
      <c r="E3" s="5" t="s">
        <v>116</v>
      </c>
      <c r="F3" s="5" t="s">
        <v>117</v>
      </c>
      <c r="G3" s="5" t="s">
        <v>118</v>
      </c>
      <c r="H3" s="5" t="s">
        <v>89</v>
      </c>
    </row>
    <row r="4" customFormat="false" ht="15" hidden="false" customHeight="false" outlineLevel="0" collapsed="false">
      <c r="A4" s="7" t="s">
        <v>119</v>
      </c>
      <c r="B4" s="13" t="s">
        <v>120</v>
      </c>
      <c r="C4" s="7" t="s">
        <v>121</v>
      </c>
      <c r="D4" s="14" t="n">
        <v>3000000</v>
      </c>
      <c r="E4" s="7" t="s">
        <v>63</v>
      </c>
      <c r="F4" s="7" t="s">
        <v>108</v>
      </c>
      <c r="G4" s="15"/>
      <c r="H4" s="13" t="s">
        <v>122</v>
      </c>
    </row>
    <row r="5" customFormat="false" ht="15" hidden="false" customHeight="false" outlineLevel="0" collapsed="false">
      <c r="A5" s="7" t="s">
        <v>123</v>
      </c>
      <c r="B5" s="13" t="s">
        <v>124</v>
      </c>
      <c r="C5" s="7" t="s">
        <v>121</v>
      </c>
      <c r="D5" s="14" t="n">
        <v>2000000</v>
      </c>
      <c r="E5" s="7" t="s">
        <v>63</v>
      </c>
      <c r="F5" s="7" t="s">
        <v>108</v>
      </c>
      <c r="G5" s="15"/>
      <c r="H5" s="13" t="s">
        <v>122</v>
      </c>
    </row>
    <row r="6" customFormat="false" ht="23.85" hidden="false" customHeight="false" outlineLevel="0" collapsed="false">
      <c r="A6" s="7" t="s">
        <v>125</v>
      </c>
      <c r="B6" s="13" t="s">
        <v>126</v>
      </c>
      <c r="C6" s="7" t="s">
        <v>121</v>
      </c>
      <c r="D6" s="14" t="n">
        <v>1500000</v>
      </c>
      <c r="E6" s="7" t="s">
        <v>127</v>
      </c>
      <c r="F6" s="7" t="s">
        <v>108</v>
      </c>
      <c r="G6" s="15"/>
      <c r="H6" s="13" t="s">
        <v>128</v>
      </c>
    </row>
    <row r="7" customFormat="false" ht="23.85" hidden="false" customHeight="false" outlineLevel="0" collapsed="false">
      <c r="A7" s="7" t="s">
        <v>129</v>
      </c>
      <c r="B7" s="13" t="s">
        <v>130</v>
      </c>
      <c r="C7" s="7" t="s">
        <v>130</v>
      </c>
      <c r="D7" s="14" t="n">
        <v>200000</v>
      </c>
      <c r="E7" s="7" t="s">
        <v>63</v>
      </c>
      <c r="F7" s="7" t="s">
        <v>108</v>
      </c>
      <c r="G7" s="15"/>
      <c r="H7" s="13" t="s">
        <v>131</v>
      </c>
    </row>
    <row r="8" customFormat="false" ht="23.85" hidden="false" customHeight="false" outlineLevel="0" collapsed="false">
      <c r="A8" s="7" t="s">
        <v>132</v>
      </c>
      <c r="B8" s="13" t="s">
        <v>133</v>
      </c>
      <c r="C8" s="7" t="s">
        <v>133</v>
      </c>
      <c r="D8" s="14" t="n">
        <v>150000</v>
      </c>
      <c r="E8" s="7" t="s">
        <v>63</v>
      </c>
      <c r="F8" s="7" t="s">
        <v>93</v>
      </c>
      <c r="G8" s="15"/>
      <c r="H8" s="13" t="s">
        <v>134</v>
      </c>
    </row>
  </sheetData>
  <mergeCells count="2">
    <mergeCell ref="A1:H1"/>
    <mergeCell ref="A2:H2"/>
  </mergeCells>
  <dataValidations count="3">
    <dataValidation allowBlank="true" errorStyle="stop" operator="between" showDropDown="false" showErrorMessage="false" showInputMessage="false" sqref="C4:C50" type="list">
      <formula1>"Deal,Partnership Expense,Organizational Expense,Other Expense"</formula1>
      <formula2>0</formula2>
    </dataValidation>
    <dataValidation allowBlank="true" errorStyle="stop" operator="between" showDropDown="false" showErrorMessage="false" showInputMessage="false" sqref="E4:E50" type="list">
      <formula1>"Commitment,UCC,Invested_Capital"</formula1>
      <formula2>0</formula2>
    </dataValidation>
    <dataValidation allowBlank="true" errorStyle="stop" operator="between" showDropDown="false" showErrorMessage="false" showInputMessage="false" sqref="F4:F50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64"/>
    <col collapsed="false" customWidth="true" hidden="false" outlineLevel="0" max="4" min="4" style="0" width="30"/>
  </cols>
  <sheetData>
    <row r="1" customFormat="false" ht="17.35" hidden="false" customHeight="true" outlineLevel="0" collapsed="false">
      <c r="A1" s="1" t="s">
        <v>135</v>
      </c>
      <c r="B1" s="1"/>
      <c r="C1" s="1"/>
      <c r="D1" s="1"/>
    </row>
    <row r="2" customFormat="false" ht="15" hidden="false" customHeight="true" outlineLevel="0" collapsed="false">
      <c r="A2" s="2" t="s">
        <v>136</v>
      </c>
      <c r="B2" s="2"/>
      <c r="C2" s="2"/>
      <c r="D2" s="2"/>
    </row>
    <row r="3" customFormat="false" ht="15" hidden="false" customHeight="false" outlineLevel="0" collapsed="false">
      <c r="A3" s="5" t="s">
        <v>45</v>
      </c>
      <c r="B3" s="5" t="s">
        <v>46</v>
      </c>
      <c r="C3" s="5" t="s">
        <v>89</v>
      </c>
    </row>
    <row r="4" customFormat="false" ht="22.35" hidden="false" customHeight="false" outlineLevel="0" collapsed="false">
      <c r="A4" s="6" t="s">
        <v>137</v>
      </c>
      <c r="B4" s="7" t="s">
        <v>63</v>
      </c>
      <c r="C4" s="8" t="s">
        <v>138</v>
      </c>
    </row>
    <row r="5" customFormat="false" ht="15" hidden="false" customHeight="false" outlineLevel="0" collapsed="false">
      <c r="A5" s="6" t="s">
        <v>139</v>
      </c>
      <c r="B5" s="10" t="n">
        <v>0.02</v>
      </c>
      <c r="C5" s="8" t="s">
        <v>140</v>
      </c>
    </row>
    <row r="6" customFormat="false" ht="15" hidden="false" customHeight="false" outlineLevel="0" collapsed="false">
      <c r="A6" s="6" t="s">
        <v>141</v>
      </c>
      <c r="B6" s="11" t="n">
        <v>0.25</v>
      </c>
      <c r="C6" s="8" t="s">
        <v>142</v>
      </c>
    </row>
    <row r="7" customFormat="false" ht="15" hidden="false" customHeight="false" outlineLevel="0" collapsed="false">
      <c r="A7" s="6" t="s">
        <v>117</v>
      </c>
      <c r="B7" s="7" t="s">
        <v>108</v>
      </c>
      <c r="C7" s="8" t="s">
        <v>143</v>
      </c>
    </row>
    <row r="8" customFormat="false" ht="15" hidden="false" customHeight="false" outlineLevel="0" collapsed="false">
      <c r="A8" s="6" t="s">
        <v>144</v>
      </c>
      <c r="B8" s="7" t="s">
        <v>105</v>
      </c>
      <c r="C8" s="8" t="s">
        <v>145</v>
      </c>
    </row>
    <row r="10" customFormat="false" ht="15" hidden="false" customHeight="false" outlineLevel="0" collapsed="false">
      <c r="A10" s="3" t="s">
        <v>146</v>
      </c>
    </row>
    <row r="11" customFormat="false" ht="15" hidden="false" customHeight="false" outlineLevel="0" collapsed="false">
      <c r="A11" s="5" t="s">
        <v>147</v>
      </c>
      <c r="B11" s="5" t="s">
        <v>148</v>
      </c>
      <c r="C11" s="5" t="s">
        <v>149</v>
      </c>
      <c r="D11" s="5" t="s">
        <v>150</v>
      </c>
    </row>
    <row r="12" customFormat="false" ht="23.85" hidden="false" customHeight="false" outlineLevel="0" collapsed="false">
      <c r="A12" s="7" t="s">
        <v>151</v>
      </c>
      <c r="B12" s="13" t="s">
        <v>152</v>
      </c>
      <c r="C12" s="14" t="n">
        <v>50000</v>
      </c>
      <c r="D12" s="13" t="s">
        <v>153</v>
      </c>
    </row>
  </sheetData>
  <mergeCells count="2">
    <mergeCell ref="A1:D1"/>
    <mergeCell ref="A2:D2"/>
  </mergeCells>
  <dataValidations count="1">
    <dataValidation allowBlank="true" errorStyle="stop" operator="between" showDropDown="false" showErrorMessage="false" showInputMessage="false" sqref="D12:D40" type="list">
      <formula1>"Pro-rata to gross fee,Commitment,Invested_Capital,Custom"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1" min="11" style="0" width="34"/>
  </cols>
  <sheetData>
    <row r="1" customFormat="false" ht="17.35" hidden="false" customHeight="true" outlineLevel="0" collapsed="false">
      <c r="A1" s="1" t="s">
        <v>154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true" outlineLevel="0" collapsed="false">
      <c r="A2" s="2" t="s">
        <v>155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3.85" hidden="false" customHeight="false" outlineLevel="0" collapsed="false">
      <c r="A3" s="5" t="s">
        <v>156</v>
      </c>
      <c r="B3" s="5" t="s">
        <v>157</v>
      </c>
      <c r="C3" s="5" t="s">
        <v>158</v>
      </c>
      <c r="D3" s="5" t="s">
        <v>159</v>
      </c>
      <c r="E3" s="5" t="s">
        <v>160</v>
      </c>
      <c r="F3" s="5" t="s">
        <v>161</v>
      </c>
      <c r="G3" s="5" t="s">
        <v>162</v>
      </c>
      <c r="H3" s="5" t="s">
        <v>163</v>
      </c>
      <c r="I3" s="5" t="s">
        <v>164</v>
      </c>
      <c r="J3" s="5" t="s">
        <v>165</v>
      </c>
      <c r="K3" s="5" t="s">
        <v>89</v>
      </c>
    </row>
    <row r="4" customFormat="false" ht="23.85" hidden="false" customHeight="false" outlineLevel="0" collapsed="false">
      <c r="A4" s="16" t="s">
        <v>166</v>
      </c>
      <c r="B4" s="17" t="n">
        <v>46387</v>
      </c>
      <c r="C4" s="16" t="s">
        <v>103</v>
      </c>
      <c r="D4" s="16" t="s">
        <v>167</v>
      </c>
      <c r="E4" s="18" t="s">
        <v>168</v>
      </c>
      <c r="F4" s="16" t="s">
        <v>169</v>
      </c>
      <c r="G4" s="19" t="n">
        <v>0.4</v>
      </c>
      <c r="H4" s="16" t="s">
        <v>108</v>
      </c>
      <c r="I4" s="16" t="s">
        <v>108</v>
      </c>
      <c r="J4" s="16" t="s">
        <v>108</v>
      </c>
      <c r="K4" s="18" t="s">
        <v>170</v>
      </c>
    </row>
  </sheetData>
  <mergeCells count="2">
    <mergeCell ref="A1:K1"/>
    <mergeCell ref="A2:K2"/>
  </mergeCells>
  <dataValidations count="2">
    <dataValidation allowBlank="true" errorStyle="stop" operator="between" showDropDown="false" showErrorMessage="false" showInputMessage="false" sqref="F4:F40" type="list">
      <formula1>"Full,Partial"</formula1>
      <formula2>0</formula2>
    </dataValidation>
    <dataValidation allowBlank="true" errorStyle="stop" operator="between" showDropDown="false" showErrorMessage="false" showInputMessage="false" sqref="H4:J40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4" min="3" style="0" width="13"/>
    <col collapsed="false" customWidth="true" hidden="false" outlineLevel="0" max="5" min="5" style="0" width="14"/>
    <col collapsed="false" customWidth="true" hidden="false" outlineLevel="0" max="8" min="6" style="0" width="12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9"/>
    <col collapsed="false" customWidth="true" hidden="false" outlineLevel="0" max="14" min="12" style="0" width="12"/>
    <col collapsed="false" customWidth="true" hidden="false" outlineLevel="0" max="15" min="15" style="0" width="13"/>
    <col collapsed="false" customWidth="true" hidden="false" outlineLevel="0" max="16" min="16" style="0" width="17"/>
    <col collapsed="false" customWidth="true" hidden="false" outlineLevel="0" max="17" min="17" style="0" width="13"/>
    <col collapsed="false" customWidth="true" hidden="false" outlineLevel="0" max="18" min="18" style="0" width="15"/>
  </cols>
  <sheetData>
    <row r="1" customFormat="false" ht="17.35" hidden="false" customHeight="true" outlineLevel="0" collapsed="false">
      <c r="A1" s="1" t="s">
        <v>171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" hidden="false" customHeight="true" outlineLevel="0" collapsed="false">
      <c r="A2" s="2" t="s">
        <v>172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23.85" hidden="false" customHeight="false" outlineLevel="0" collapsed="false">
      <c r="A3" s="5" t="s">
        <v>79</v>
      </c>
      <c r="B3" s="5" t="s">
        <v>80</v>
      </c>
      <c r="C3" s="5" t="s">
        <v>63</v>
      </c>
      <c r="D3" s="5" t="s">
        <v>83</v>
      </c>
      <c r="E3" s="5" t="s">
        <v>82</v>
      </c>
      <c r="F3" s="5" t="s">
        <v>173</v>
      </c>
      <c r="G3" s="5" t="s">
        <v>174</v>
      </c>
      <c r="H3" s="5" t="s">
        <v>175</v>
      </c>
      <c r="I3" s="5" t="s">
        <v>176</v>
      </c>
      <c r="J3" s="5" t="s">
        <v>177</v>
      </c>
      <c r="K3" s="5" t="s">
        <v>178</v>
      </c>
      <c r="L3" s="5" t="s">
        <v>179</v>
      </c>
      <c r="M3" s="5" t="s">
        <v>180</v>
      </c>
      <c r="N3" s="5" t="s">
        <v>181</v>
      </c>
      <c r="O3" s="5" t="s">
        <v>182</v>
      </c>
      <c r="P3" s="5" t="s">
        <v>183</v>
      </c>
      <c r="Q3" s="5" t="s">
        <v>184</v>
      </c>
      <c r="R3" s="5" t="s">
        <v>185</v>
      </c>
    </row>
    <row r="4" customFormat="false" ht="15" hidden="false" customHeight="false" outlineLevel="0" collapsed="false">
      <c r="A4" s="20" t="str">
        <f aca="false">LP_Register!A4</f>
        <v>LP01</v>
      </c>
      <c r="B4" s="21" t="str">
        <f aca="false">LP_Register!B4</f>
        <v>Alpha Pension Trust</v>
      </c>
      <c r="C4" s="22" t="n">
        <f aca="false">LP_Register!D4</f>
        <v>10000000</v>
      </c>
      <c r="D4" s="22" t="n">
        <f aca="false">LP_Register!F4</f>
        <v>8000000</v>
      </c>
      <c r="E4" s="22" t="n">
        <f aca="false">LP_Register!E4</f>
        <v>2000000</v>
      </c>
      <c r="F4" s="22" t="n">
        <f aca="false">ROUND($B$14*C4/$B$22,2)</f>
        <v>594059.41</v>
      </c>
      <c r="G4" s="22" t="n">
        <f aca="false">ROUND($B$15*C4/$B$22,2)</f>
        <v>396039.6</v>
      </c>
      <c r="H4" s="22" t="n">
        <f aca="false">ROUND($B$16*D4/$B$23,2)</f>
        <v>294840.29</v>
      </c>
      <c r="I4" s="22" t="n">
        <f aca="false">ROUND($B$17*C4/$B$22,2)</f>
        <v>39603.96</v>
      </c>
      <c r="J4" s="22" t="n">
        <f aca="false">ROUND($B$18*C4/$B$22,2)</f>
        <v>29702.97</v>
      </c>
      <c r="K4" s="23" t="n">
        <f aca="false">IF(ISNUMBER(SEARCH(A4,Management_Fee!$B$8)),0,IF(N(LP_Register!H4)&gt;0,LP_Register!H4,$B$19))</f>
        <v>0.02</v>
      </c>
      <c r="L4" s="22" t="n">
        <f aca="false">ROUND(C4*K4*$B$20,2)</f>
        <v>50000</v>
      </c>
      <c r="M4" s="22" t="n">
        <f aca="false">IFERROR(ROUND($B$21*L4/$B$24,2),0)</f>
        <v>10526.32</v>
      </c>
      <c r="N4" s="22" t="n">
        <f aca="false">L4-M4</f>
        <v>39473.68</v>
      </c>
      <c r="O4" s="22" t="n">
        <f aca="false">F4+G4+H4+I4+J4+N4</f>
        <v>1393719.91</v>
      </c>
      <c r="P4" s="22" t="n">
        <f aca="false">F4+G4+H4+I4+N4</f>
        <v>1364016.94</v>
      </c>
      <c r="Q4" s="22" t="n">
        <f aca="false">D4-P4</f>
        <v>6635983.06</v>
      </c>
      <c r="R4" s="22" t="n">
        <f aca="false">E4+O4</f>
        <v>3393719.91</v>
      </c>
    </row>
    <row r="5" customFormat="false" ht="15" hidden="false" customHeight="false" outlineLevel="0" collapsed="false">
      <c r="A5" s="20" t="str">
        <f aca="false">LP_Register!A5</f>
        <v>LP02</v>
      </c>
      <c r="B5" s="21" t="str">
        <f aca="false">LP_Register!B5</f>
        <v>Beta University Endowment</v>
      </c>
      <c r="C5" s="22" t="n">
        <f aca="false">LP_Register!D5</f>
        <v>7500000</v>
      </c>
      <c r="D5" s="22" t="n">
        <f aca="false">LP_Register!F5</f>
        <v>6750000</v>
      </c>
      <c r="E5" s="22" t="n">
        <f aca="false">LP_Register!E5</f>
        <v>750000</v>
      </c>
      <c r="F5" s="22" t="n">
        <f aca="false">ROUND($B$14*C5/$B$22,2)</f>
        <v>445544.55</v>
      </c>
      <c r="G5" s="22" t="n">
        <f aca="false">ROUND($B$15*C5/$B$22,2)</f>
        <v>297029.7</v>
      </c>
      <c r="H5" s="22" t="n">
        <f aca="false">ROUND($B$16*D5/$B$23,2)</f>
        <v>248771.5</v>
      </c>
      <c r="I5" s="22" t="n">
        <f aca="false">ROUND($B$17*C5/$B$22,2)</f>
        <v>29702.97</v>
      </c>
      <c r="J5" s="22" t="n">
        <f aca="false">ROUND($B$18*C5/$B$22,2)</f>
        <v>22277.23</v>
      </c>
      <c r="K5" s="23" t="n">
        <f aca="false">IF(ISNUMBER(SEARCH(A5,Management_Fee!$B$8)),0,IF(N(LP_Register!H5)&gt;0,LP_Register!H5,$B$19))</f>
        <v>0.02</v>
      </c>
      <c r="L5" s="22" t="n">
        <f aca="false">ROUND(C5*K5*$B$20,2)</f>
        <v>37500</v>
      </c>
      <c r="M5" s="22" t="n">
        <f aca="false">IFERROR(ROUND($B$21*L5/$B$24,2),0)</f>
        <v>7894.74</v>
      </c>
      <c r="N5" s="22" t="n">
        <f aca="false">L5-M5</f>
        <v>29605.26</v>
      </c>
      <c r="O5" s="22" t="n">
        <f aca="false">F5+G5+H5+I5+J5+N5</f>
        <v>1072931.21</v>
      </c>
      <c r="P5" s="22" t="n">
        <f aca="false">F5+G5+H5+I5+N5</f>
        <v>1050653.98</v>
      </c>
      <c r="Q5" s="22" t="n">
        <f aca="false">D5-P5</f>
        <v>5699346.02</v>
      </c>
      <c r="R5" s="22" t="n">
        <f aca="false">E5+O5</f>
        <v>1822931.21</v>
      </c>
    </row>
    <row r="6" customFormat="false" ht="15" hidden="false" customHeight="false" outlineLevel="0" collapsed="false">
      <c r="A6" s="20" t="str">
        <f aca="false">LP_Register!A6</f>
        <v>LP03</v>
      </c>
      <c r="B6" s="21" t="str">
        <f aca="false">LP_Register!B6</f>
        <v>Gamma Family Office</v>
      </c>
      <c r="C6" s="22" t="n">
        <f aca="false">LP_Register!D6</f>
        <v>5000000</v>
      </c>
      <c r="D6" s="22" t="n">
        <f aca="false">LP_Register!F6</f>
        <v>3000000</v>
      </c>
      <c r="E6" s="22" t="n">
        <f aca="false">LP_Register!E6</f>
        <v>2000000</v>
      </c>
      <c r="F6" s="22" t="n">
        <f aca="false">ROUND($B$14*C6/$B$22,2)</f>
        <v>297029.7</v>
      </c>
      <c r="G6" s="22" t="n">
        <f aca="false">ROUND($B$15*C6/$B$22,2)</f>
        <v>198019.8</v>
      </c>
      <c r="H6" s="22" t="n">
        <f aca="false">ROUND($B$16*D6/$B$23,2)</f>
        <v>110565.11</v>
      </c>
      <c r="I6" s="22" t="n">
        <f aca="false">ROUND($B$17*C6/$B$22,2)</f>
        <v>19801.98</v>
      </c>
      <c r="J6" s="22" t="n">
        <f aca="false">ROUND($B$18*C6/$B$22,2)</f>
        <v>14851.49</v>
      </c>
      <c r="K6" s="23" t="n">
        <f aca="false">IF(ISNUMBER(SEARCH(A6,Management_Fee!$B$8)),0,IF(N(LP_Register!H6)&gt;0,LP_Register!H6,$B$19))</f>
        <v>0.01</v>
      </c>
      <c r="L6" s="22" t="n">
        <f aca="false">ROUND(C6*K6*$B$20,2)</f>
        <v>12500</v>
      </c>
      <c r="M6" s="22" t="n">
        <f aca="false">IFERROR(ROUND($B$21*L6/$B$24,2),0)</f>
        <v>2631.58</v>
      </c>
      <c r="N6" s="22" t="n">
        <f aca="false">L6-M6</f>
        <v>9868.42</v>
      </c>
      <c r="O6" s="22" t="n">
        <f aca="false">F6+G6+H6+I6+J6+N6</f>
        <v>650136.5</v>
      </c>
      <c r="P6" s="22" t="n">
        <f aca="false">F6+G6+H6+I6+N6</f>
        <v>635285.01</v>
      </c>
      <c r="Q6" s="22" t="n">
        <f aca="false">D6-P6</f>
        <v>2364714.99</v>
      </c>
      <c r="R6" s="22" t="n">
        <f aca="false">E6+O6</f>
        <v>2650136.5</v>
      </c>
    </row>
    <row r="7" customFormat="false" ht="15" hidden="false" customHeight="false" outlineLevel="0" collapsed="false">
      <c r="A7" s="20" t="str">
        <f aca="false">LP_Register!A7</f>
        <v>LP04</v>
      </c>
      <c r="B7" s="21" t="str">
        <f aca="false">LP_Register!B7</f>
        <v>Delta Insurance Co</v>
      </c>
      <c r="C7" s="22" t="n">
        <f aca="false">LP_Register!D7</f>
        <v>15000000</v>
      </c>
      <c r="D7" s="22" t="n">
        <f aca="false">LP_Register!F7</f>
        <v>13500000</v>
      </c>
      <c r="E7" s="22" t="n">
        <f aca="false">LP_Register!E7</f>
        <v>1500000</v>
      </c>
      <c r="F7" s="22" t="n">
        <f aca="false">ROUND($B$14-(SUM(F4:F6)+SUM(F8:F9)),2)</f>
        <v>891089.11</v>
      </c>
      <c r="G7" s="22" t="n">
        <f aca="false">ROUND($B$15-(SUM(G4:G6)+SUM(G8:G9)),2)</f>
        <v>594059.42</v>
      </c>
      <c r="H7" s="22" t="n">
        <f aca="false">ROUND($B$16-(SUM(H4:H6)+SUM(H8:H9)),2)</f>
        <v>497543</v>
      </c>
      <c r="I7" s="22" t="n">
        <f aca="false">ROUND($B$17-(SUM(I4:I6)+SUM(I8:I9)),2)</f>
        <v>59405.94</v>
      </c>
      <c r="J7" s="22" t="n">
        <f aca="false">ROUND($B$18-(SUM(J4:J6)+SUM(J8:J9)),2)</f>
        <v>44554.45</v>
      </c>
      <c r="K7" s="23" t="n">
        <f aca="false">IF(ISNUMBER(SEARCH(A7,Management_Fee!$B$8)),0,IF(N(LP_Register!H7)&gt;0,LP_Register!H7,$B$19))</f>
        <v>0.02</v>
      </c>
      <c r="L7" s="22" t="n">
        <f aca="false">ROUND(C7*K7*$B$20,2)</f>
        <v>75000</v>
      </c>
      <c r="M7" s="22" t="n">
        <f aca="false">ROUND($B$21-(SUM(M4:M6)+SUM(M8:M9)),2)</f>
        <v>15789.47</v>
      </c>
      <c r="N7" s="22" t="n">
        <f aca="false">L7-M7</f>
        <v>59210.53</v>
      </c>
      <c r="O7" s="22" t="n">
        <f aca="false">F7+G7+H7+I7+J7+N7</f>
        <v>2145862.45</v>
      </c>
      <c r="P7" s="22" t="n">
        <f aca="false">F7+G7+H7+I7+N7</f>
        <v>2101308</v>
      </c>
      <c r="Q7" s="22" t="n">
        <f aca="false">D7-P7</f>
        <v>11398692</v>
      </c>
      <c r="R7" s="22" t="n">
        <f aca="false">E7+O7</f>
        <v>3645862.45</v>
      </c>
    </row>
    <row r="8" customFormat="false" ht="15" hidden="false" customHeight="false" outlineLevel="0" collapsed="false">
      <c r="A8" s="20" t="str">
        <f aca="false">LP_Register!A8</f>
        <v>LP05</v>
      </c>
      <c r="B8" s="21" t="str">
        <f aca="false">LP_Register!B8</f>
        <v>Epsilon Sovereign Fund</v>
      </c>
      <c r="C8" s="22" t="n">
        <f aca="false">LP_Register!D8</f>
        <v>12500000</v>
      </c>
      <c r="D8" s="22" t="n">
        <f aca="false">LP_Register!F8</f>
        <v>9000000</v>
      </c>
      <c r="E8" s="22" t="n">
        <f aca="false">LP_Register!E8</f>
        <v>3500000</v>
      </c>
      <c r="F8" s="22" t="n">
        <f aca="false">ROUND($B$14*C8/$B$22,2)</f>
        <v>742574.26</v>
      </c>
      <c r="G8" s="22" t="n">
        <f aca="false">ROUND($B$15*C8/$B$22,2)</f>
        <v>495049.5</v>
      </c>
      <c r="H8" s="22" t="n">
        <f aca="false">ROUND($B$16*D8/$B$23,2)</f>
        <v>331695.33</v>
      </c>
      <c r="I8" s="22" t="n">
        <f aca="false">ROUND($B$17*C8/$B$22,2)</f>
        <v>49504.95</v>
      </c>
      <c r="J8" s="22" t="n">
        <f aca="false">ROUND($B$18*C8/$B$22,2)</f>
        <v>37128.71</v>
      </c>
      <c r="K8" s="23" t="n">
        <f aca="false">IF(ISNUMBER(SEARCH(A8,Management_Fee!$B$8)),0,IF(N(LP_Register!H8)&gt;0,LP_Register!H8,$B$19))</f>
        <v>0.02</v>
      </c>
      <c r="L8" s="22" t="n">
        <f aca="false">ROUND(C8*K8*$B$20,2)</f>
        <v>62500</v>
      </c>
      <c r="M8" s="22" t="n">
        <f aca="false">IFERROR(ROUND($B$21*L8/$B$24,2),0)</f>
        <v>13157.89</v>
      </c>
      <c r="N8" s="22" t="n">
        <f aca="false">L8-M8</f>
        <v>49342.11</v>
      </c>
      <c r="O8" s="22" t="n">
        <f aca="false">F8+G8+H8+I8+J8+N8</f>
        <v>1705294.86</v>
      </c>
      <c r="P8" s="22" t="n">
        <f aca="false">F8+G8+H8+I8+N8</f>
        <v>1668166.15</v>
      </c>
      <c r="Q8" s="22" t="n">
        <f aca="false">D8-P8</f>
        <v>7331833.85</v>
      </c>
      <c r="R8" s="22" t="n">
        <f aca="false">E8+O8</f>
        <v>5205294.86</v>
      </c>
    </row>
    <row r="9" customFormat="false" ht="15" hidden="false" customHeight="false" outlineLevel="0" collapsed="false">
      <c r="A9" s="20" t="str">
        <f aca="false">LP_Register!A9</f>
        <v>GP01</v>
      </c>
      <c r="B9" s="21" t="str">
        <f aca="false">LP_Register!B9</f>
        <v>Fund GP LLC</v>
      </c>
      <c r="C9" s="22" t="n">
        <f aca="false">LP_Register!D9</f>
        <v>500000</v>
      </c>
      <c r="D9" s="22" t="n">
        <f aca="false">LP_Register!F9</f>
        <v>450000</v>
      </c>
      <c r="E9" s="22" t="n">
        <f aca="false">LP_Register!E9</f>
        <v>50000</v>
      </c>
      <c r="F9" s="22" t="n">
        <f aca="false">ROUND($B$14*C9/$B$22,2)</f>
        <v>29702.97</v>
      </c>
      <c r="G9" s="22" t="n">
        <f aca="false">ROUND($B$15*C9/$B$22,2)</f>
        <v>19801.98</v>
      </c>
      <c r="H9" s="22" t="n">
        <f aca="false">ROUND($B$16*D9/$B$23,2)</f>
        <v>16584.77</v>
      </c>
      <c r="I9" s="22" t="n">
        <f aca="false">ROUND($B$17*C9/$B$22,2)</f>
        <v>1980.2</v>
      </c>
      <c r="J9" s="22" t="n">
        <f aca="false">ROUND($B$18*C9/$B$22,2)</f>
        <v>1485.15</v>
      </c>
      <c r="K9" s="23" t="n">
        <f aca="false">IF(ISNUMBER(SEARCH(A9,Management_Fee!$B$8)),0,IF(N(LP_Register!H9)&gt;0,LP_Register!H9,$B$19))</f>
        <v>0</v>
      </c>
      <c r="L9" s="22" t="n">
        <f aca="false">ROUND(C9*K9*$B$20,2)</f>
        <v>0</v>
      </c>
      <c r="M9" s="22" t="n">
        <f aca="false">IFERROR(ROUND($B$21*L9/$B$24,2),0)</f>
        <v>0</v>
      </c>
      <c r="N9" s="22" t="n">
        <f aca="false">L9-M9</f>
        <v>0</v>
      </c>
      <c r="O9" s="22" t="n">
        <f aca="false">F9+G9+H9+I9+J9+N9</f>
        <v>69555.07</v>
      </c>
      <c r="P9" s="22" t="n">
        <f aca="false">F9+G9+H9+I9+N9</f>
        <v>68069.92</v>
      </c>
      <c r="Q9" s="22" t="n">
        <f aca="false">D9-P9</f>
        <v>381930.08</v>
      </c>
      <c r="R9" s="22" t="n">
        <f aca="false">E9+O9</f>
        <v>119555.07</v>
      </c>
    </row>
    <row r="10" customFormat="false" ht="15" hidden="false" customHeight="false" outlineLevel="0" collapsed="false">
      <c r="A10" s="24"/>
      <c r="B10" s="25" t="s">
        <v>186</v>
      </c>
      <c r="C10" s="26" t="n">
        <f aca="false">SUM(C4:C9)</f>
        <v>50500000</v>
      </c>
      <c r="D10" s="26" t="n">
        <f aca="false">SUM(D4:D9)</f>
        <v>40700000</v>
      </c>
      <c r="E10" s="26" t="n">
        <f aca="false">SUM(E4:E9)</f>
        <v>9800000</v>
      </c>
      <c r="F10" s="26" t="n">
        <f aca="false">SUM(F4:F9)</f>
        <v>3000000</v>
      </c>
      <c r="G10" s="26" t="n">
        <f aca="false">SUM(G4:G9)</f>
        <v>2000000</v>
      </c>
      <c r="H10" s="26" t="n">
        <f aca="false">SUM(H4:H9)</f>
        <v>1500000</v>
      </c>
      <c r="I10" s="26" t="n">
        <f aca="false">SUM(I4:I9)</f>
        <v>200000</v>
      </c>
      <c r="J10" s="26" t="n">
        <f aca="false">SUM(J4:J9)</f>
        <v>150000</v>
      </c>
      <c r="K10" s="27"/>
      <c r="L10" s="26" t="n">
        <f aca="false">SUM(L4:L9)</f>
        <v>237500</v>
      </c>
      <c r="M10" s="26" t="n">
        <f aca="false">SUM(M4:M9)</f>
        <v>50000</v>
      </c>
      <c r="N10" s="26" t="n">
        <f aca="false">SUM(N4:N9)</f>
        <v>187500</v>
      </c>
      <c r="O10" s="26" t="n">
        <f aca="false">SUM(O4:O9)</f>
        <v>7037500</v>
      </c>
      <c r="P10" s="26" t="n">
        <f aca="false">SUM(P4:P9)</f>
        <v>6887500</v>
      </c>
      <c r="Q10" s="26" t="n">
        <f aca="false">SUM(Q4:Q9)</f>
        <v>33812500</v>
      </c>
      <c r="R10" s="26" t="n">
        <f aca="false">SUM(R4:R9)</f>
        <v>16837500</v>
      </c>
    </row>
    <row r="13" customFormat="false" ht="15" hidden="false" customHeight="false" outlineLevel="0" collapsed="false">
      <c r="A13" s="3" t="s">
        <v>187</v>
      </c>
    </row>
    <row r="14" customFormat="false" ht="23.85" hidden="false" customHeight="false" outlineLevel="0" collapsed="false">
      <c r="A14" s="6" t="s">
        <v>188</v>
      </c>
      <c r="B14" s="28" t="n">
        <f aca="false">Call_Components!D4</f>
        <v>3000000</v>
      </c>
    </row>
    <row r="15" customFormat="false" ht="23.85" hidden="false" customHeight="false" outlineLevel="0" collapsed="false">
      <c r="A15" s="6" t="s">
        <v>189</v>
      </c>
      <c r="B15" s="28" t="n">
        <f aca="false">Call_Components!D5</f>
        <v>2000000</v>
      </c>
    </row>
    <row r="16" customFormat="false" ht="23.85" hidden="false" customHeight="false" outlineLevel="0" collapsed="false">
      <c r="A16" s="6" t="s">
        <v>190</v>
      </c>
      <c r="B16" s="28" t="n">
        <f aca="false">Call_Components!D6</f>
        <v>1500000</v>
      </c>
    </row>
    <row r="17" customFormat="false" ht="46.25" hidden="false" customHeight="false" outlineLevel="0" collapsed="false">
      <c r="A17" s="6" t="s">
        <v>191</v>
      </c>
      <c r="B17" s="28" t="n">
        <f aca="false">Call_Components!D7</f>
        <v>200000</v>
      </c>
    </row>
    <row r="18" customFormat="false" ht="35.05" hidden="false" customHeight="false" outlineLevel="0" collapsed="false">
      <c r="A18" s="6" t="s">
        <v>192</v>
      </c>
      <c r="B18" s="28" t="n">
        <f aca="false">Call_Components!D8</f>
        <v>150000</v>
      </c>
    </row>
    <row r="19" customFormat="false" ht="35.05" hidden="false" customHeight="false" outlineLevel="0" collapsed="false">
      <c r="A19" s="6" t="s">
        <v>193</v>
      </c>
      <c r="B19" s="23" t="n">
        <f aca="false">Management_Fee!B5</f>
        <v>0.02</v>
      </c>
    </row>
    <row r="20" customFormat="false" ht="35.05" hidden="false" customHeight="false" outlineLevel="0" collapsed="false">
      <c r="A20" s="6" t="s">
        <v>194</v>
      </c>
      <c r="B20" s="29" t="n">
        <f aca="false">Management_Fee!B6</f>
        <v>0.25</v>
      </c>
    </row>
    <row r="21" customFormat="false" ht="46.25" hidden="false" customHeight="false" outlineLevel="0" collapsed="false">
      <c r="A21" s="6" t="s">
        <v>195</v>
      </c>
      <c r="B21" s="28" t="n">
        <f aca="false">Management_Fee!C12</f>
        <v>50000</v>
      </c>
    </row>
    <row r="22" customFormat="false" ht="35.05" hidden="false" customHeight="false" outlineLevel="0" collapsed="false">
      <c r="A22" s="6" t="s">
        <v>196</v>
      </c>
      <c r="B22" s="28" t="n">
        <f aca="false">SUM(C4:C9)</f>
        <v>50500000</v>
      </c>
    </row>
    <row r="23" customFormat="false" ht="23.85" hidden="false" customHeight="false" outlineLevel="0" collapsed="false">
      <c r="A23" s="6" t="s">
        <v>197</v>
      </c>
      <c r="B23" s="28" t="n">
        <f aca="false">SUM(D4:D9)</f>
        <v>40700000</v>
      </c>
    </row>
    <row r="24" customFormat="false" ht="23.85" hidden="false" customHeight="false" outlineLevel="0" collapsed="false">
      <c r="A24" s="6" t="s">
        <v>198</v>
      </c>
      <c r="B24" s="28" t="n">
        <f aca="false">SUM(L4:L9)</f>
        <v>237500</v>
      </c>
    </row>
  </sheetData>
  <mergeCells count="2">
    <mergeCell ref="A1:R1"/>
    <mergeCell ref="A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30"/>
    <col collapsed="false" customWidth="true" hidden="false" outlineLevel="0" max="6" min="6" style="0" width="52"/>
  </cols>
  <sheetData>
    <row r="1" customFormat="false" ht="17.35" hidden="false" customHeight="true" outlineLevel="0" collapsed="false">
      <c r="A1" s="1" t="s">
        <v>199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200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5" t="s">
        <v>201</v>
      </c>
      <c r="B3" s="5" t="s">
        <v>45</v>
      </c>
      <c r="C3" s="5" t="s">
        <v>202</v>
      </c>
      <c r="D3" s="5" t="s">
        <v>203</v>
      </c>
      <c r="E3" s="5" t="s">
        <v>204</v>
      </c>
      <c r="F3" s="5" t="s">
        <v>148</v>
      </c>
    </row>
    <row r="4" customFormat="false" ht="15" hidden="false" customHeight="false" outlineLevel="0" collapsed="false">
      <c r="A4" s="30" t="s">
        <v>205</v>
      </c>
      <c r="B4" s="30" t="s">
        <v>48</v>
      </c>
      <c r="C4" s="31" t="s">
        <v>206</v>
      </c>
      <c r="D4" s="31" t="s">
        <v>108</v>
      </c>
      <c r="E4" s="32"/>
      <c r="F4" s="8" t="s">
        <v>207</v>
      </c>
    </row>
    <row r="5" customFormat="false" ht="15" hidden="false" customHeight="false" outlineLevel="0" collapsed="false">
      <c r="A5" s="30" t="s">
        <v>205</v>
      </c>
      <c r="B5" s="30" t="s">
        <v>54</v>
      </c>
      <c r="C5" s="31" t="s">
        <v>208</v>
      </c>
      <c r="D5" s="31" t="s">
        <v>108</v>
      </c>
      <c r="E5" s="32" t="s">
        <v>209</v>
      </c>
      <c r="F5" s="8" t="s">
        <v>210</v>
      </c>
    </row>
    <row r="6" customFormat="false" ht="15" hidden="false" customHeight="false" outlineLevel="0" collapsed="false">
      <c r="A6" s="30" t="s">
        <v>205</v>
      </c>
      <c r="B6" s="30" t="s">
        <v>211</v>
      </c>
      <c r="C6" s="31" t="s">
        <v>212</v>
      </c>
      <c r="D6" s="31" t="s">
        <v>108</v>
      </c>
      <c r="E6" s="32"/>
      <c r="F6" s="8" t="s">
        <v>213</v>
      </c>
    </row>
    <row r="7" customFormat="false" ht="15" hidden="false" customHeight="false" outlineLevel="0" collapsed="false">
      <c r="A7" s="30" t="s">
        <v>205</v>
      </c>
      <c r="B7" s="30" t="s">
        <v>60</v>
      </c>
      <c r="C7" s="31" t="s">
        <v>214</v>
      </c>
      <c r="D7" s="31" t="s">
        <v>108</v>
      </c>
      <c r="E7" s="32" t="s">
        <v>215</v>
      </c>
      <c r="F7" s="8" t="s">
        <v>216</v>
      </c>
    </row>
    <row r="8" customFormat="false" ht="15" hidden="false" customHeight="false" outlineLevel="0" collapsed="false">
      <c r="A8" s="30" t="s">
        <v>205</v>
      </c>
      <c r="B8" s="30" t="s">
        <v>62</v>
      </c>
      <c r="C8" s="31" t="s">
        <v>217</v>
      </c>
      <c r="D8" s="31" t="s">
        <v>108</v>
      </c>
      <c r="E8" s="32" t="s">
        <v>218</v>
      </c>
      <c r="F8" s="8" t="s">
        <v>219</v>
      </c>
    </row>
    <row r="9" customFormat="false" ht="15" hidden="false" customHeight="false" outlineLevel="0" collapsed="false">
      <c r="A9" s="30" t="s">
        <v>205</v>
      </c>
      <c r="B9" s="30" t="s">
        <v>65</v>
      </c>
      <c r="C9" s="31" t="s">
        <v>214</v>
      </c>
      <c r="D9" s="31" t="s">
        <v>108</v>
      </c>
      <c r="E9" s="32" t="s">
        <v>220</v>
      </c>
      <c r="F9" s="8" t="s">
        <v>221</v>
      </c>
    </row>
    <row r="10" customFormat="false" ht="15" hidden="false" customHeight="false" outlineLevel="0" collapsed="false">
      <c r="A10" s="30" t="s">
        <v>205</v>
      </c>
      <c r="B10" s="30" t="s">
        <v>69</v>
      </c>
      <c r="C10" s="31" t="s">
        <v>208</v>
      </c>
      <c r="D10" s="31" t="s">
        <v>108</v>
      </c>
      <c r="E10" s="32" t="s">
        <v>222</v>
      </c>
      <c r="F10" s="8" t="s">
        <v>223</v>
      </c>
    </row>
    <row r="11" customFormat="false" ht="15" hidden="false" customHeight="false" outlineLevel="0" collapsed="false">
      <c r="A11" s="30" t="s">
        <v>205</v>
      </c>
      <c r="B11" s="30" t="s">
        <v>71</v>
      </c>
      <c r="C11" s="31" t="s">
        <v>224</v>
      </c>
      <c r="D11" s="31" t="s">
        <v>108</v>
      </c>
      <c r="E11" s="32" t="s">
        <v>225</v>
      </c>
      <c r="F11" s="8" t="s">
        <v>226</v>
      </c>
    </row>
    <row r="12" customFormat="false" ht="15" hidden="false" customHeight="false" outlineLevel="0" collapsed="false">
      <c r="A12" s="30" t="s">
        <v>227</v>
      </c>
      <c r="B12" s="30" t="s">
        <v>79</v>
      </c>
      <c r="C12" s="31" t="s">
        <v>228</v>
      </c>
      <c r="D12" s="31" t="s">
        <v>108</v>
      </c>
      <c r="E12" s="32" t="s">
        <v>229</v>
      </c>
      <c r="F12" s="8" t="s">
        <v>230</v>
      </c>
    </row>
    <row r="13" customFormat="false" ht="15" hidden="false" customHeight="false" outlineLevel="0" collapsed="false">
      <c r="A13" s="30" t="s">
        <v>227</v>
      </c>
      <c r="B13" s="30" t="s">
        <v>80</v>
      </c>
      <c r="C13" s="31" t="s">
        <v>206</v>
      </c>
      <c r="D13" s="31" t="s">
        <v>108</v>
      </c>
      <c r="E13" s="32"/>
      <c r="F13" s="8" t="s">
        <v>231</v>
      </c>
    </row>
    <row r="14" customFormat="false" ht="15" hidden="false" customHeight="false" outlineLevel="0" collapsed="false">
      <c r="A14" s="30" t="s">
        <v>227</v>
      </c>
      <c r="B14" s="30" t="s">
        <v>81</v>
      </c>
      <c r="C14" s="31" t="s">
        <v>217</v>
      </c>
      <c r="D14" s="31" t="s">
        <v>108</v>
      </c>
      <c r="E14" s="32" t="s">
        <v>232</v>
      </c>
      <c r="F14" s="8" t="s">
        <v>233</v>
      </c>
    </row>
    <row r="15" customFormat="false" ht="15" hidden="false" customHeight="false" outlineLevel="0" collapsed="false">
      <c r="A15" s="30" t="s">
        <v>227</v>
      </c>
      <c r="B15" s="30" t="s">
        <v>63</v>
      </c>
      <c r="C15" s="31" t="s">
        <v>234</v>
      </c>
      <c r="D15" s="31" t="s">
        <v>108</v>
      </c>
      <c r="E15" s="32" t="s">
        <v>222</v>
      </c>
      <c r="F15" s="8" t="s">
        <v>235</v>
      </c>
    </row>
    <row r="16" customFormat="false" ht="15" hidden="false" customHeight="false" outlineLevel="0" collapsed="false">
      <c r="A16" s="30" t="s">
        <v>227</v>
      </c>
      <c r="B16" s="30" t="s">
        <v>82</v>
      </c>
      <c r="C16" s="31" t="s">
        <v>234</v>
      </c>
      <c r="D16" s="31" t="s">
        <v>108</v>
      </c>
      <c r="E16" s="32" t="s">
        <v>222</v>
      </c>
      <c r="F16" s="8" t="s">
        <v>236</v>
      </c>
    </row>
    <row r="17" customFormat="false" ht="15" hidden="false" customHeight="false" outlineLevel="0" collapsed="false">
      <c r="A17" s="30" t="s">
        <v>227</v>
      </c>
      <c r="B17" s="30" t="s">
        <v>83</v>
      </c>
      <c r="C17" s="31" t="s">
        <v>234</v>
      </c>
      <c r="D17" s="31" t="s">
        <v>108</v>
      </c>
      <c r="E17" s="32" t="s">
        <v>222</v>
      </c>
      <c r="F17" s="8" t="s">
        <v>237</v>
      </c>
    </row>
    <row r="18" customFormat="false" ht="15" hidden="false" customHeight="false" outlineLevel="0" collapsed="false">
      <c r="A18" s="30" t="s">
        <v>227</v>
      </c>
      <c r="B18" s="30" t="s">
        <v>84</v>
      </c>
      <c r="C18" s="31" t="s">
        <v>234</v>
      </c>
      <c r="D18" s="31" t="s">
        <v>93</v>
      </c>
      <c r="E18" s="32" t="s">
        <v>222</v>
      </c>
      <c r="F18" s="8" t="s">
        <v>238</v>
      </c>
    </row>
    <row r="19" customFormat="false" ht="15" hidden="false" customHeight="false" outlineLevel="0" collapsed="false">
      <c r="A19" s="30" t="s">
        <v>227</v>
      </c>
      <c r="B19" s="30" t="s">
        <v>85</v>
      </c>
      <c r="C19" s="31" t="s">
        <v>214</v>
      </c>
      <c r="D19" s="31" t="s">
        <v>93</v>
      </c>
      <c r="E19" s="32" t="s">
        <v>220</v>
      </c>
      <c r="F19" s="8" t="s">
        <v>239</v>
      </c>
    </row>
    <row r="20" customFormat="false" ht="15" hidden="false" customHeight="false" outlineLevel="0" collapsed="false">
      <c r="A20" s="30" t="s">
        <v>227</v>
      </c>
      <c r="B20" s="30" t="s">
        <v>86</v>
      </c>
      <c r="C20" s="31" t="s">
        <v>217</v>
      </c>
      <c r="D20" s="31" t="s">
        <v>93</v>
      </c>
      <c r="E20" s="32" t="s">
        <v>240</v>
      </c>
      <c r="F20" s="8" t="s">
        <v>241</v>
      </c>
    </row>
    <row r="21" customFormat="false" ht="23.85" hidden="false" customHeight="false" outlineLevel="0" collapsed="false">
      <c r="A21" s="30" t="s">
        <v>227</v>
      </c>
      <c r="B21" s="30" t="s">
        <v>87</v>
      </c>
      <c r="C21" s="31" t="s">
        <v>217</v>
      </c>
      <c r="D21" s="31" t="s">
        <v>108</v>
      </c>
      <c r="E21" s="32" t="s">
        <v>242</v>
      </c>
      <c r="F21" s="8" t="s">
        <v>243</v>
      </c>
    </row>
    <row r="22" customFormat="false" ht="15" hidden="false" customHeight="false" outlineLevel="0" collapsed="false">
      <c r="A22" s="30" t="s">
        <v>244</v>
      </c>
      <c r="B22" s="30" t="s">
        <v>112</v>
      </c>
      <c r="C22" s="31" t="s">
        <v>228</v>
      </c>
      <c r="D22" s="31" t="s">
        <v>108</v>
      </c>
      <c r="E22" s="32" t="s">
        <v>245</v>
      </c>
      <c r="F22" s="8" t="s">
        <v>246</v>
      </c>
    </row>
    <row r="23" customFormat="false" ht="35.05" hidden="false" customHeight="false" outlineLevel="0" collapsed="false">
      <c r="A23" s="30" t="s">
        <v>244</v>
      </c>
      <c r="B23" s="30" t="s">
        <v>114</v>
      </c>
      <c r="C23" s="31" t="s">
        <v>217</v>
      </c>
      <c r="D23" s="31" t="s">
        <v>108</v>
      </c>
      <c r="E23" s="32" t="s">
        <v>247</v>
      </c>
      <c r="F23" s="8" t="s">
        <v>248</v>
      </c>
    </row>
    <row r="24" customFormat="false" ht="15" hidden="false" customHeight="false" outlineLevel="0" collapsed="false">
      <c r="A24" s="30" t="s">
        <v>244</v>
      </c>
      <c r="B24" s="30" t="s">
        <v>115</v>
      </c>
      <c r="C24" s="31" t="s">
        <v>234</v>
      </c>
      <c r="D24" s="31" t="s">
        <v>108</v>
      </c>
      <c r="E24" s="32" t="s">
        <v>249</v>
      </c>
      <c r="F24" s="8" t="s">
        <v>250</v>
      </c>
    </row>
    <row r="25" customFormat="false" ht="15" hidden="false" customHeight="false" outlineLevel="0" collapsed="false">
      <c r="A25" s="30" t="s">
        <v>244</v>
      </c>
      <c r="B25" s="30" t="s">
        <v>116</v>
      </c>
      <c r="C25" s="31" t="s">
        <v>217</v>
      </c>
      <c r="D25" s="31" t="s">
        <v>108</v>
      </c>
      <c r="E25" s="32" t="s">
        <v>251</v>
      </c>
      <c r="F25" s="8" t="s">
        <v>252</v>
      </c>
    </row>
    <row r="26" customFormat="false" ht="15" hidden="false" customHeight="false" outlineLevel="0" collapsed="false">
      <c r="A26" s="30" t="s">
        <v>244</v>
      </c>
      <c r="B26" s="30" t="s">
        <v>117</v>
      </c>
      <c r="C26" s="31" t="s">
        <v>217</v>
      </c>
      <c r="D26" s="31" t="s">
        <v>108</v>
      </c>
      <c r="E26" s="32" t="s">
        <v>240</v>
      </c>
      <c r="F26" s="8" t="s">
        <v>253</v>
      </c>
    </row>
    <row r="27" customFormat="false" ht="15" hidden="false" customHeight="false" outlineLevel="0" collapsed="false">
      <c r="A27" s="30" t="s">
        <v>244</v>
      </c>
      <c r="B27" s="30" t="s">
        <v>118</v>
      </c>
      <c r="C27" s="31" t="s">
        <v>254</v>
      </c>
      <c r="D27" s="31" t="s">
        <v>93</v>
      </c>
      <c r="E27" s="32" t="s">
        <v>255</v>
      </c>
      <c r="F27" s="8" t="s">
        <v>256</v>
      </c>
    </row>
    <row r="28" customFormat="false" ht="15" hidden="false" customHeight="false" outlineLevel="0" collapsed="false">
      <c r="A28" s="30" t="s">
        <v>257</v>
      </c>
      <c r="B28" s="30" t="s">
        <v>137</v>
      </c>
      <c r="C28" s="31" t="s">
        <v>217</v>
      </c>
      <c r="D28" s="31" t="s">
        <v>108</v>
      </c>
      <c r="E28" s="32" t="s">
        <v>218</v>
      </c>
      <c r="F28" s="8" t="s">
        <v>258</v>
      </c>
    </row>
    <row r="29" customFormat="false" ht="15" hidden="false" customHeight="false" outlineLevel="0" collapsed="false">
      <c r="A29" s="30" t="s">
        <v>257</v>
      </c>
      <c r="B29" s="30" t="s">
        <v>139</v>
      </c>
      <c r="C29" s="31" t="s">
        <v>214</v>
      </c>
      <c r="D29" s="31" t="s">
        <v>108</v>
      </c>
      <c r="E29" s="32" t="s">
        <v>220</v>
      </c>
      <c r="F29" s="8" t="s">
        <v>259</v>
      </c>
    </row>
    <row r="30" customFormat="false" ht="15" hidden="false" customHeight="false" outlineLevel="0" collapsed="false">
      <c r="A30" s="30" t="s">
        <v>257</v>
      </c>
      <c r="B30" s="30" t="s">
        <v>141</v>
      </c>
      <c r="C30" s="31" t="s">
        <v>214</v>
      </c>
      <c r="D30" s="31" t="s">
        <v>108</v>
      </c>
      <c r="E30" s="32" t="s">
        <v>220</v>
      </c>
      <c r="F30" s="8" t="s">
        <v>260</v>
      </c>
    </row>
    <row r="31" customFormat="false" ht="15" hidden="false" customHeight="false" outlineLevel="0" collapsed="false">
      <c r="A31" s="30" t="s">
        <v>257</v>
      </c>
      <c r="B31" s="30" t="s">
        <v>144</v>
      </c>
      <c r="C31" s="31" t="s">
        <v>254</v>
      </c>
      <c r="D31" s="31" t="s">
        <v>93</v>
      </c>
      <c r="E31" s="32" t="s">
        <v>261</v>
      </c>
      <c r="F31" s="8" t="s">
        <v>262</v>
      </c>
    </row>
    <row r="32" customFormat="false" ht="15" hidden="false" customHeight="false" outlineLevel="0" collapsed="false">
      <c r="A32" s="30" t="s">
        <v>257</v>
      </c>
      <c r="B32" s="30" t="s">
        <v>263</v>
      </c>
      <c r="C32" s="31" t="s">
        <v>234</v>
      </c>
      <c r="D32" s="31" t="s">
        <v>93</v>
      </c>
      <c r="E32" s="32" t="s">
        <v>222</v>
      </c>
      <c r="F32" s="8" t="s">
        <v>264</v>
      </c>
    </row>
    <row r="33" customFormat="false" ht="23.85" hidden="false" customHeight="false" outlineLevel="0" collapsed="false">
      <c r="A33" s="30" t="s">
        <v>257</v>
      </c>
      <c r="B33" s="30" t="s">
        <v>265</v>
      </c>
      <c r="C33" s="31" t="s">
        <v>217</v>
      </c>
      <c r="D33" s="31" t="s">
        <v>93</v>
      </c>
      <c r="E33" s="32" t="s">
        <v>266</v>
      </c>
      <c r="F33" s="8" t="s">
        <v>267</v>
      </c>
    </row>
    <row r="34" customFormat="false" ht="15" hidden="false" customHeight="false" outlineLevel="0" collapsed="false">
      <c r="A34" s="30" t="s">
        <v>268</v>
      </c>
      <c r="B34" s="30" t="s">
        <v>269</v>
      </c>
      <c r="C34" s="31" t="s">
        <v>224</v>
      </c>
      <c r="D34" s="31" t="s">
        <v>270</v>
      </c>
      <c r="E34" s="32" t="s">
        <v>271</v>
      </c>
      <c r="F34" s="8" t="s">
        <v>272</v>
      </c>
    </row>
    <row r="35" customFormat="false" ht="15" hidden="false" customHeight="false" outlineLevel="0" collapsed="false">
      <c r="A35" s="30" t="s">
        <v>268</v>
      </c>
      <c r="B35" s="30" t="s">
        <v>161</v>
      </c>
      <c r="C35" s="31" t="s">
        <v>217</v>
      </c>
      <c r="D35" s="31" t="s">
        <v>270</v>
      </c>
      <c r="E35" s="32" t="s">
        <v>273</v>
      </c>
      <c r="F35" s="8" t="s">
        <v>274</v>
      </c>
    </row>
    <row r="36" customFormat="false" ht="15" hidden="false" customHeight="false" outlineLevel="0" collapsed="false">
      <c r="A36" s="30" t="s">
        <v>268</v>
      </c>
      <c r="B36" s="30" t="s">
        <v>162</v>
      </c>
      <c r="C36" s="31" t="s">
        <v>214</v>
      </c>
      <c r="D36" s="31" t="s">
        <v>270</v>
      </c>
      <c r="E36" s="32" t="s">
        <v>220</v>
      </c>
      <c r="F36" s="8" t="s">
        <v>275</v>
      </c>
    </row>
    <row r="37" customFormat="false" ht="15" hidden="false" customHeight="false" outlineLevel="0" collapsed="false">
      <c r="A37" s="30" t="s">
        <v>268</v>
      </c>
      <c r="B37" s="30" t="s">
        <v>276</v>
      </c>
      <c r="C37" s="31" t="s">
        <v>217</v>
      </c>
      <c r="D37" s="31" t="s">
        <v>270</v>
      </c>
      <c r="E37" s="32" t="s">
        <v>240</v>
      </c>
      <c r="F37" s="8" t="s">
        <v>277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2026-09-16T08:53:49Z</dcterms:created>
  <dc:creator>openpyxl</dc:creator>
  <dc:description/>
  <dc:language>en-US</dc:language>
  <cp:lastModifiedBy/>
  <dcterms:modified xsi:type="dcterms:W3CDTF">2026-09-16T08:53:49Z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